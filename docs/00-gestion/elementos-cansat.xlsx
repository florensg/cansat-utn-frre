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Componentes" sheetId="2" r:id="rId6"/>
    <sheet state="visible" name="Baterias" sheetId="3" r:id="rId7"/>
    <sheet state="visible" name="Requisitos_CONAE" sheetId="4" r:id="rId8"/>
  </sheets>
  <definedNames/>
  <calcPr/>
</workbook>
</file>

<file path=xl/sharedStrings.xml><?xml version="1.0" encoding="utf-8"?>
<sst xmlns="http://schemas.openxmlformats.org/spreadsheetml/2006/main" count="354" uniqueCount="230">
  <si>
    <t>ID</t>
  </si>
  <si>
    <t>Subsistema</t>
  </si>
  <si>
    <t>Computa en CanSat?</t>
  </si>
  <si>
    <t>Aplicación</t>
  </si>
  <si>
    <t>Tipo</t>
  </si>
  <si>
    <t>Componente / Modelo</t>
  </si>
  <si>
    <t>Función</t>
  </si>
  <si>
    <t>Cantidad</t>
  </si>
  <si>
    <t>Tensión [V]</t>
  </si>
  <si>
    <t>Corriente activa [mA]</t>
  </si>
  <si>
    <t>Corriente reposo [mA]</t>
  </si>
  <si>
    <t>Duty activo [%]</t>
  </si>
  <si>
    <t>Corriente media [mA]</t>
  </si>
  <si>
    <t>Potencia media [W]</t>
  </si>
  <si>
    <t>Masa unitaria [g]</t>
  </si>
  <si>
    <t>Masa total [g]</t>
  </si>
  <si>
    <t>Precio unitario [ARS]</t>
  </si>
  <si>
    <t>Costo total [ARS]</t>
  </si>
  <si>
    <t>Interfaz</t>
  </si>
  <si>
    <t>Protocolo / Frecuencia</t>
  </si>
  <si>
    <t>Estado</t>
  </si>
  <si>
    <t>Fuente / Link</t>
  </si>
  <si>
    <t>Notas</t>
  </si>
  <si>
    <t>C-001</t>
  </si>
  <si>
    <t>Control / Software</t>
  </si>
  <si>
    <t>Sí</t>
  </si>
  <si>
    <t>Común</t>
  </si>
  <si>
    <t>Microcontrolador</t>
  </si>
  <si>
    <t>STM32</t>
  </si>
  <si>
    <t>Unidad principal de control</t>
  </si>
  <si>
    <t>Descartado</t>
  </si>
  <si>
    <t>C-002</t>
  </si>
  <si>
    <t>ESP32-S3</t>
  </si>
  <si>
    <t>CanSat Universitario 2026–2027 | Control de masa, energía y presupuesto</t>
  </si>
  <si>
    <t>Parámetros de diseño</t>
  </si>
  <si>
    <t>Batería seleccionada</t>
  </si>
  <si>
    <t>Masa objetivo [g]</t>
  </si>
  <si>
    <t>Modelo</t>
  </si>
  <si>
    <t>Tolerancia de masa [g]</t>
  </si>
  <si>
    <t>Tensión pack [V]</t>
  </si>
  <si>
    <t>Presupuesto máximo CanSat [ARS]</t>
  </si>
  <si>
    <t>Capacidad pack [mAh]</t>
  </si>
  <si>
    <t>Autonomía mínima [h]</t>
  </si>
  <si>
    <t>Energía utilizable [Wh]</t>
  </si>
  <si>
    <t>Seleccionado</t>
  </si>
  <si>
    <t>https://naylampmechatronics.com/espressif-esp/1206-esp32-s3-devkitc-1-44-pin-esp32-s3-wifi-usb-c.html</t>
  </si>
  <si>
    <t>Margen energético de diseño [%]</t>
  </si>
  <si>
    <t>Masa pack [g]</t>
  </si>
  <si>
    <t>Eficiencia global de regulación [%]</t>
  </si>
  <si>
    <t>Costo pack [ARS]</t>
  </si>
  <si>
    <t>N.º candidatas seleccionadas</t>
  </si>
  <si>
    <t>Indicadores principales</t>
  </si>
  <si>
    <t>Masa total CanSat + batería [g]</t>
  </si>
  <si>
    <t>Cómo usar la planilla</t>
  </si>
  <si>
    <t>Estado masa</t>
  </si>
  <si>
    <t>C-003</t>
  </si>
  <si>
    <t>Adquisición de datos</t>
  </si>
  <si>
    <t>1. Cargar cada sensor, módulo, pieza mecánica y elemento de estación terrena en «Componentes».</t>
  </si>
  <si>
    <t>Misión principal</t>
  </si>
  <si>
    <t>Costo CanSat + batería [ARS]</t>
  </si>
  <si>
    <t>Sensor</t>
  </si>
  <si>
    <t>BMP280</t>
  </si>
  <si>
    <t>Presión / temperatura / altitud barométrica</t>
  </si>
  <si>
    <t>2. Completar tensión, corrientes y duty activo para estimar potencia media.</t>
  </si>
  <si>
    <t>Requisito</t>
  </si>
  <si>
    <t>Presupuesto restante [ARS]</t>
  </si>
  <si>
    <t>Seleccionada</t>
  </si>
  <si>
    <t>3. Cargar candidatos de batería en «Baterias» y marcar solo uno como «Sí».</t>
  </si>
  <si>
    <t>Tema</t>
  </si>
  <si>
    <t>Potencia media a bordo [W]</t>
  </si>
  <si>
    <t>Descripción</t>
  </si>
  <si>
    <t>Valor útil para la planilla</t>
  </si>
  <si>
    <t>Química</t>
  </si>
  <si>
    <t>4. La masa y costo del CanSat incluyen solo filas marcadas «Computa en CanSat? = Sí» más la batería seleccionada.</t>
  </si>
  <si>
    <t>Tensión celda [V]</t>
  </si>
  <si>
    <t>Fuente</t>
  </si>
  <si>
    <t>Capacidad celda [mAh]</t>
  </si>
  <si>
    <t>Serie (S)</t>
  </si>
  <si>
    <t>Energía requerida con margen [Wh]</t>
  </si>
  <si>
    <t>S1</t>
  </si>
  <si>
    <t>Paralelo (P)</t>
  </si>
  <si>
    <t>Masa</t>
  </si>
  <si>
    <t>La masa combinada del CanSat y el contenedor debe ser de 500 g ± 10 g.</t>
  </si>
  <si>
    <t>5. Los parámetros editables del cuadro superior pueden modificarse si CONAE actualiza requisitos o si se adopta otro margen de diseño.</t>
  </si>
  <si>
    <t>Objetivo 500 g; rango permitido 490–510 g</t>
  </si>
  <si>
    <t>Energía nominal [Wh]</t>
  </si>
  <si>
    <t>I2C / SPI</t>
  </si>
  <si>
    <t>Apéndice A – Requisitos de Misión</t>
  </si>
  <si>
    <t>Fracción utilizable [%]</t>
  </si>
  <si>
    <t>Autonomía batería seleccionada [h]</t>
  </si>
  <si>
    <t>S2</t>
  </si>
  <si>
    <t>Masa celda [g]</t>
  </si>
  <si>
    <t>Dimensiones</t>
  </si>
  <si>
    <t>Masa extra pack [g]</t>
  </si>
  <si>
    <t>El diámetro del CanSat debe ser de 95 mm.</t>
  </si>
  <si>
    <t>Masa total pack [g]</t>
  </si>
  <si>
    <t>Ø 95 mm</t>
  </si>
  <si>
    <t>Precio celda [ARS]</t>
  </si>
  <si>
    <t>Estado autonomía</t>
  </si>
  <si>
    <t>C-004</t>
  </si>
  <si>
    <t>Costo extra pack [ARS]</t>
  </si>
  <si>
    <t>S3</t>
  </si>
  <si>
    <t>Costo total pack [ARS]</t>
  </si>
  <si>
    <t>Autonomía estimada [h]</t>
  </si>
  <si>
    <t>La longitud total, incluidos los sistemas de descenso, debe estar entre 200 y 250 mm.</t>
  </si>
  <si>
    <t>IMU</t>
  </si>
  <si>
    <t>Margen sobre mínimo [h]</t>
  </si>
  <si>
    <t>200–250 mm</t>
  </si>
  <si>
    <t>GY-521</t>
  </si>
  <si>
    <t>Masa disponible hasta 510 g [g]</t>
  </si>
  <si>
    <t>Aceleración y velocidad angular</t>
  </si>
  <si>
    <t>C9</t>
  </si>
  <si>
    <t>Observaciones</t>
  </si>
  <si>
    <t>Presupuesto</t>
  </si>
  <si>
    <t>El costo del CanSat debe ser inferior a $1.000.000. Herramientas de análisis y soporte en tierra no incluidas.</t>
  </si>
  <si>
    <t>&lt; $1.000.000 ARS para el CanSat</t>
  </si>
  <si>
    <t>E1</t>
  </si>
  <si>
    <t>Batería</t>
  </si>
  <si>
    <t>No se permiten baterías de polímero de litio.</t>
  </si>
  <si>
    <t>Masa [g]</t>
  </si>
  <si>
    <t>Li-ion 18650</t>
  </si>
  <si>
    <t>LiPo no permitida</t>
  </si>
  <si>
    <t>Costo [ARS]</t>
  </si>
  <si>
    <t>Potencia [W]</t>
  </si>
  <si>
    <t>E2</t>
  </si>
  <si>
    <t>Se permiten alcalinas, Ni-Cd, Ni-MH o litio con empaque metálico tipo 18650; también baterías de botón.</t>
  </si>
  <si>
    <t>Usar química permitida</t>
  </si>
  <si>
    <t>E7</t>
  </si>
  <si>
    <t>Autonomía</t>
  </si>
  <si>
    <t>El CanSat debe funcionar durante un mínimo de dos horas cuando esté integrado en el cohete.</t>
  </si>
  <si>
    <t>Autonomía mínima: 2 h</t>
  </si>
  <si>
    <t>M4</t>
  </si>
  <si>
    <t>Conexión batería</t>
  </si>
  <si>
    <t>No se deben utilizar contactos de resorte para realizar conexiones eléctricas a las baterías.</t>
  </si>
  <si>
    <t>Evitar portapilas con contacto de resorte</t>
  </si>
  <si>
    <t>C-005</t>
  </si>
  <si>
    <t>Navegación</t>
  </si>
  <si>
    <t>GPS</t>
  </si>
  <si>
    <t>NEO-M8N</t>
  </si>
  <si>
    <t>Posición, altitud y tiempo GPS</t>
  </si>
  <si>
    <t>Comunicación</t>
  </si>
  <si>
    <t>UART</t>
  </si>
  <si>
    <t>C-006</t>
  </si>
  <si>
    <t>Radio</t>
  </si>
  <si>
    <t>XBee-Pro 900HP</t>
  </si>
  <si>
    <t>Telemetría y telecomandos</t>
  </si>
  <si>
    <t>Registro / Video</t>
  </si>
  <si>
    <t>SPI / UART</t>
  </si>
  <si>
    <t>915–928 MHz o 2.4 GHz</t>
  </si>
  <si>
    <t>C-007</t>
  </si>
  <si>
    <t>Almacenamiento</t>
  </si>
  <si>
    <t>Cámara</t>
  </si>
  <si>
    <t>Xiao ESP32SE Sense - OV2640</t>
  </si>
  <si>
    <t>Registro de video hacia cenit / nadir</t>
  </si>
  <si>
    <t>No</t>
  </si>
  <si>
    <t>Li-Ion 21700</t>
  </si>
  <si>
    <t>Mecánico / Estructural</t>
  </si>
  <si>
    <t>C-008</t>
  </si>
  <si>
    <t>Descenso / Recuperación</t>
  </si>
  <si>
    <t>Memoria</t>
  </si>
  <si>
    <t>MicroSD 8GB</t>
  </si>
  <si>
    <t>Respaldo de telemetría / datos</t>
  </si>
  <si>
    <t>Misión secundaria</t>
  </si>
  <si>
    <t>SPI</t>
  </si>
  <si>
    <t>C-009</t>
  </si>
  <si>
    <t>Otros</t>
  </si>
  <si>
    <t>Mecanismo</t>
  </si>
  <si>
    <t>Liberación del segundo sistema de descenso</t>
  </si>
  <si>
    <t>Por definir</t>
  </si>
  <si>
    <t>Costos fuera del límite C9</t>
  </si>
  <si>
    <t>C-010</t>
  </si>
  <si>
    <t>Costo estación terrena / soporte [ARS]</t>
  </si>
  <si>
    <t>Baliza</t>
  </si>
  <si>
    <t>Diyables X5</t>
  </si>
  <si>
    <t>Baliza audible independiente</t>
  </si>
  <si>
    <t>Costo total del proyecto [ARS]</t>
  </si>
  <si>
    <t>C-011</t>
  </si>
  <si>
    <t>Estructura</t>
  </si>
  <si>
    <t>Estructura / contenedor del CanSat</t>
  </si>
  <si>
    <t>C-012</t>
  </si>
  <si>
    <t>Cableado / conectores</t>
  </si>
  <si>
    <t>Cableado, conectores y fijaciones</t>
  </si>
  <si>
    <t>C-013</t>
  </si>
  <si>
    <t>Sensor solar</t>
  </si>
  <si>
    <t>Panel Solar Epóxico</t>
  </si>
  <si>
    <t>Detección de radiación solar exigida por CONAE</t>
  </si>
  <si>
    <t>Candidato</t>
  </si>
  <si>
    <t>https://www.sdgreensun.com/products_detail.php?cid=88&amp;id=228&amp;utm_source=chatgpt.com</t>
  </si>
  <si>
    <t>C-014</t>
  </si>
  <si>
    <t>Sensor / módulo</t>
  </si>
  <si>
    <t>Hardware específico de la misión secundaria</t>
  </si>
  <si>
    <t>G-001</t>
  </si>
  <si>
    <t>Estación terrena</t>
  </si>
  <si>
    <t>Radio de estación terrena</t>
  </si>
  <si>
    <t>G-002</t>
  </si>
  <si>
    <t>Antena</t>
  </si>
  <si>
    <t>Antena de estación terrena</t>
  </si>
  <si>
    <t>G-003</t>
  </si>
  <si>
    <t>Computadora</t>
  </si>
  <si>
    <t>Computadora portátil / GCS</t>
  </si>
  <si>
    <t>C-015</t>
  </si>
  <si>
    <t>INA219</t>
  </si>
  <si>
    <t>Medición de Batería</t>
  </si>
  <si>
    <t>C-016</t>
  </si>
  <si>
    <t>FRAM I2C</t>
  </si>
  <si>
    <t>Memoria no Volatil</t>
  </si>
  <si>
    <t>C-017</t>
  </si>
  <si>
    <t>Sesnsor</t>
  </si>
  <si>
    <t>LIS3MDL</t>
  </si>
  <si>
    <t>Determinación de Orientación (Magnetómetro)</t>
  </si>
  <si>
    <t>C-018</t>
  </si>
  <si>
    <t>BPW34 (Fotodiodo)</t>
  </si>
  <si>
    <t>Intensidad de Luz Solar</t>
  </si>
  <si>
    <t>C-019</t>
  </si>
  <si>
    <t>Conversor AD</t>
  </si>
  <si>
    <t>ADS1115</t>
  </si>
  <si>
    <t>Convertir señal de diodos</t>
  </si>
  <si>
    <t>C-020</t>
  </si>
  <si>
    <t>Cámara Infrarroja</t>
  </si>
  <si>
    <t>IMX219 NoIR</t>
  </si>
  <si>
    <t>Registro de video hacia nadir</t>
  </si>
  <si>
    <t>https://www.raspberrypi.com/documentation/accessories/camera.html</t>
  </si>
  <si>
    <t>C-021</t>
  </si>
  <si>
    <t>Microprocesador</t>
  </si>
  <si>
    <t>Raspberry Pi Zero 2W</t>
  </si>
  <si>
    <t>Procesamiento de videos y datos</t>
  </si>
  <si>
    <t>C-022</t>
  </si>
  <si>
    <t>Reloj</t>
  </si>
  <si>
    <t>RV 3028 C7</t>
  </si>
  <si>
    <t>Respaldo de hora para microcontrolador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</si>
</sst>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"/>
    <numFmt numFmtId="165" formatCode="0.0000"/>
    <numFmt numFmtId="166" formatCode="0.0"/>
    <numFmt numFmtId="167" formatCode="$ #,##0"/>
    <numFmt numFmtId="168" formatCode="0.000"/>
  </numFmts>
  <fonts count="10">
    <font>
      <sz val="11.0"/>
      <color rgb="FF000000"/>
      <name val="Carlito"/>
      <scheme val="minor"/>
    </font>
    <font>
      <b/>
      <sz val="11.0"/>
      <color rgb="FF1F1F1F"/>
      <name val="Carlito"/>
    </font>
    <font>
      <sz val="11.0"/>
      <color theme="1"/>
      <name val="Carlito"/>
    </font>
    <font>
      <b/>
      <sz val="16.0"/>
      <color rgb="FFFFFFFF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u/>
      <sz val="11.0"/>
      <color rgb="FF0000FF"/>
      <name val="Carlito"/>
    </font>
    <font/>
    <font>
      <color theme="1"/>
      <name val="Carlito"/>
    </font>
    <font>
      <sz val="11.0"/>
      <color rgb="FF000000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7365D"/>
        <bgColor rgb="FF17365D"/>
      </patternFill>
    </fill>
    <fill>
      <patternFill patternType="solid">
        <fgColor rgb="FF2F75B5"/>
        <bgColor rgb="FF2F75B5"/>
      </patternFill>
    </fill>
    <fill>
      <patternFill patternType="solid">
        <fgColor rgb="FFF4F8FC"/>
        <bgColor rgb="FFF4F8F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left/>
    </border>
    <border>
      <left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" xfId="0" applyAlignment="1" applyFont="1" applyNumberFormat="1">
      <alignment shrinkToFit="0" vertical="center" wrapText="1"/>
    </xf>
    <xf borderId="0" fillId="0" fontId="2" numFmtId="2" xfId="0" applyAlignment="1" applyFont="1" applyNumberForma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4" xfId="0" applyAlignment="1" applyFont="1" applyNumberFormat="1">
      <alignment readingOrder="0"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166" xfId="0" applyAlignment="1" applyFont="1" applyNumberFormat="1">
      <alignment readingOrder="0"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2" numFmtId="167" xfId="0" applyAlignment="1" applyFont="1" applyNumberFormat="1">
      <alignment shrinkToFit="0" vertical="center" wrapText="1"/>
    </xf>
    <xf borderId="0" fillId="3" fontId="3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4" fontId="4" numFmtId="0" xfId="0" applyAlignment="1" applyFill="1" applyFont="1">
      <alignment horizontal="left" shrinkToFit="0" vertical="center" wrapText="1"/>
    </xf>
    <xf borderId="4" fillId="5" fontId="5" numFmtId="0" xfId="0" applyAlignment="1" applyBorder="1" applyFill="1" applyFont="1">
      <alignment shrinkToFit="0" wrapText="1"/>
    </xf>
    <xf borderId="5" fillId="5" fontId="5" numFmtId="0" xfId="0" applyAlignment="1" applyBorder="1" applyFill="1" applyFont="1">
      <alignment shrinkToFit="0" wrapText="1"/>
    </xf>
    <xf borderId="0" fillId="0" fontId="2" numFmtId="2" xfId="0" applyAlignment="1" applyFont="1" applyNumberFormat="1">
      <alignment shrinkToFit="0" wrapText="1"/>
    </xf>
    <xf borderId="0" fillId="0" fontId="2" numFmtId="167" xfId="0" applyAlignment="1" applyFont="1" applyNumberFormat="1">
      <alignment shrinkToFit="0" wrapText="1"/>
    </xf>
    <xf borderId="0" fillId="0" fontId="2" numFmtId="9" xfId="0" applyAlignment="1" applyFont="1" applyNumberFormat="1">
      <alignment shrinkToFit="0" wrapText="1"/>
    </xf>
    <xf borderId="6" fillId="5" fontId="5" numFmtId="0" xfId="0" applyAlignment="1" applyBorder="1" applyFill="1" applyFont="1">
      <alignment shrinkToFit="0" wrapText="1"/>
    </xf>
    <xf borderId="0" fillId="0" fontId="6" numFmtId="0" xfId="0" applyAlignment="1" applyFont="1">
      <alignment readingOrder="0" shrinkToFit="0" vertical="center" wrapText="1"/>
    </xf>
    <xf borderId="0" fillId="0" fontId="2" numFmtId="166" xfId="0" applyAlignment="1" applyFont="1" applyNumberForma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7" numFmtId="0" xfId="0" applyBorder="1" applyFont="1"/>
    <xf borderId="3" fillId="0" fontId="7" numFmtId="0" xfId="0" applyBorder="1" applyFont="1"/>
    <xf borderId="4" fillId="2" fontId="1" numFmtId="0" xfId="0" applyAlignment="1" applyBorder="1" applyFill="1" applyFont="1">
      <alignment horizontal="center" readingOrder="0" shrinkToFit="0" vertical="center" wrapText="1"/>
    </xf>
    <xf borderId="7" fillId="2" fontId="1" numFmtId="0" xfId="0" applyAlignment="1" applyBorder="1" applyFill="1" applyFont="1">
      <alignment horizontal="center" readingOrder="0" shrinkToFit="0" vertical="center" wrapText="1"/>
    </xf>
    <xf borderId="0" fillId="0" fontId="2" numFmtId="10" xfId="0" applyAlignment="1" applyFont="1" applyNumberFormat="1">
      <alignment readingOrder="0" shrinkToFit="0" vertical="center" wrapText="1"/>
    </xf>
    <xf borderId="8" fillId="2" fontId="1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shrinkToFit="0" vertical="center" wrapText="1"/>
    </xf>
    <xf borderId="8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2" xfId="0" applyAlignment="1" applyFont="1" applyNumberFormat="1">
      <alignment shrinkToFit="0" vertical="center" wrapText="1"/>
    </xf>
    <xf borderId="0" fillId="0" fontId="2" numFmtId="168" xfId="0" applyAlignment="1" applyFont="1" applyNumberFormat="1">
      <alignment shrinkToFit="0" wrapText="1"/>
    </xf>
    <xf borderId="0" fillId="0" fontId="8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shrinkToFit="0" vertical="center" wrapText="1"/>
    </xf>
    <xf borderId="0" fillId="0" fontId="2" numFmtId="4" xfId="0" applyAlignment="1" applyFont="1" applyNumberFormat="1">
      <alignment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  <tableStyles count="3">
    <tableStyle count="4" pivot="0" name="Compon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teri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sitos_CONA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Masa por subsistema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Masa [g]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Resumen!$A$25:$A$35</c:f>
            </c:strRef>
          </c:cat>
          <c:val>
            <c:numRef>
              <c:f>Resumen!$B$25:$B$35</c:f>
              <c:numCache/>
            </c:numRef>
          </c:val>
        </c:ser>
        <c:axId val="687250015"/>
        <c:axId val="410495790"/>
      </c:barChart>
      <c:catAx>
        <c:axId val="687250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495790"/>
      </c:catAx>
      <c:valAx>
        <c:axId val="410495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25001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6943725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1343025</xdr:colOff>
      <xdr:row>41</xdr:row>
      <xdr:rowOff>28575</xdr:rowOff>
    </xdr:from>
    <xdr:ext cx="10639425" cy="53625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1285875</xdr:colOff>
      <xdr:row>68</xdr:row>
      <xdr:rowOff>47625</xdr:rowOff>
    </xdr:from>
    <xdr:ext cx="10696575" cy="50006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1285875</xdr:colOff>
      <xdr:row>93</xdr:row>
      <xdr:rowOff>104775</xdr:rowOff>
    </xdr:from>
    <xdr:ext cx="10696575" cy="24955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36</xdr:row>
      <xdr:rowOff>180975</xdr:rowOff>
    </xdr:from>
    <xdr:ext cx="9667875" cy="550545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51" displayName="ComponentesTable" name="ComponentesTable" id="1">
  <tableColumns count="23">
    <tableColumn name="ID" id="1"/>
    <tableColumn name="Subsistema" id="2"/>
    <tableColumn name="Computa en CanSat?" id="3"/>
    <tableColumn name="Aplicación" id="4"/>
    <tableColumn name="Tipo" id="5"/>
    <tableColumn name="Componente / Modelo" id="6"/>
    <tableColumn name="Función" id="7"/>
    <tableColumn name="Cantidad" id="8"/>
    <tableColumn name="Tensión [V]" id="9"/>
    <tableColumn name="Corriente activa [mA]" id="10"/>
    <tableColumn name="Corriente reposo [mA]" id="11"/>
    <tableColumn name="Duty activo [%]" id="12"/>
    <tableColumn name="Corriente media [mA]" id="13"/>
    <tableColumn name="Potencia media [W]" id="14"/>
    <tableColumn name="Masa unitaria [g]" id="15"/>
    <tableColumn name="Masa total [g]" id="16"/>
    <tableColumn name="Precio unitario [ARS]" id="17"/>
    <tableColumn name="Costo total [ARS]" id="18"/>
    <tableColumn name="Interfaz" id="19"/>
    <tableColumn name="Protocolo / Frecuencia" id="20"/>
    <tableColumn name="Estado" id="21"/>
    <tableColumn name="Fuente / Link" id="22"/>
    <tableColumn name="Notas" id="23"/>
  </tableColumns>
  <tableStyleInfo name="Componentes-style" showColumnStripes="0" showFirstColumn="1" showLastColumn="1" showRowStripes="1"/>
</table>
</file>

<file path=xl/tables/table2.xml><?xml version="1.0" encoding="utf-8"?>
<table xmlns="http://schemas.openxmlformats.org/spreadsheetml/2006/main" ref="A1:V11" displayName="BateriasTable" name="BateriasTable" id="2">
  <tableColumns count="22">
    <tableColumn name="Seleccionada" id="1"/>
    <tableColumn name="Modelo" id="2"/>
    <tableColumn name="Química" id="3"/>
    <tableColumn name="Tensión celda [V]" id="4"/>
    <tableColumn name="Capacidad celda [mAh]" id="5"/>
    <tableColumn name="Serie (S)" id="6"/>
    <tableColumn name="Paralelo (P)" id="7"/>
    <tableColumn name="Tensión pack [V]" id="8"/>
    <tableColumn name="Capacidad pack [mAh]" id="9"/>
    <tableColumn name="Energía nominal [Wh]" id="10"/>
    <tableColumn name="Fracción utilizable [%]" id="11"/>
    <tableColumn name="Energía utilizable [Wh]" id="12"/>
    <tableColumn name="Masa celda [g]" id="13"/>
    <tableColumn name="Masa extra pack [g]" id="14"/>
    <tableColumn name="Masa total pack [g]" id="15"/>
    <tableColumn name="Precio celda [ARS]" id="16"/>
    <tableColumn name="Costo extra pack [ARS]" id="17"/>
    <tableColumn name="Costo total pack [ARS]" id="18"/>
    <tableColumn name="Autonomía estimada [h]" id="19"/>
    <tableColumn name="Margen sobre mínimo [h]" id="20"/>
    <tableColumn name="Estado autonomía" id="21"/>
    <tableColumn name="Observaciones" id="22"/>
  </tableColumns>
  <tableStyleInfo name="Baterias-style" showColumnStripes="0" showFirstColumn="1" showLastColumn="1" showRowStripes="1"/>
</table>
</file>

<file path=xl/tables/table3.xml><?xml version="1.0" encoding="utf-8"?>
<table xmlns="http://schemas.openxmlformats.org/spreadsheetml/2006/main" ref="A1:E9" displayName="RequisitosTable" name="RequisitosTable" id="3">
  <tableColumns count="5">
    <tableColumn name="Requisito" id="1"/>
    <tableColumn name="Tema" id="2"/>
    <tableColumn name="Descripción" id="3"/>
    <tableColumn name="Valor útil para la planilla" id="4"/>
    <tableColumn name="Fuente" id="5"/>
  </tableColumns>
  <tableStyleInfo name="Requisitos_CONA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aylampmechatronics.com/espressif-esp/1206-esp32-s3-devkitc-1-44-pin-esp32-s3-wifi-usb-c.html" TargetMode="External"/><Relationship Id="rId2" Type="http://schemas.openxmlformats.org/officeDocument/2006/relationships/hyperlink" Target="https://www.sdgreensun.com/products_detail.php?cid=88&amp;id=228&amp;utm_source=chatgpt.com" TargetMode="External"/><Relationship Id="rId3" Type="http://schemas.openxmlformats.org/officeDocument/2006/relationships/hyperlink" Target="https://www.raspberrypi.com/documentation/accessories/camera.html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18.0"/>
    <col customWidth="1" min="3" max="3" width="16.0"/>
    <col customWidth="1" min="4" max="4" width="28.0"/>
    <col customWidth="1" min="5" max="5" width="22.0"/>
    <col customWidth="1" min="6" max="8" width="16.0"/>
    <col customWidth="1" min="9" max="26" width="8.63"/>
  </cols>
  <sheetData>
    <row r="1" ht="27.75" customHeight="1">
      <c r="A1" s="16" t="s">
        <v>33</v>
      </c>
    </row>
    <row r="2" ht="27.75" customHeight="1"/>
    <row r="3">
      <c r="A3" s="17"/>
      <c r="B3" s="17"/>
      <c r="C3" s="17"/>
      <c r="D3" s="17"/>
      <c r="E3" s="17"/>
      <c r="F3" s="17"/>
      <c r="G3" s="17"/>
      <c r="H3" s="17"/>
    </row>
    <row r="4">
      <c r="A4" s="18" t="s">
        <v>34</v>
      </c>
      <c r="C4" s="17"/>
      <c r="D4" s="18" t="s">
        <v>35</v>
      </c>
      <c r="F4" s="17"/>
      <c r="G4" s="17"/>
      <c r="H4" s="17"/>
    </row>
    <row r="5">
      <c r="A5" s="19" t="s">
        <v>36</v>
      </c>
      <c r="B5" s="17">
        <v>500.0</v>
      </c>
      <c r="C5" s="17"/>
      <c r="D5" s="19" t="s">
        <v>37</v>
      </c>
      <c r="E5" s="17">
        <f t="array" ref="E5">IF(COUNTIF(Baterias!$A$2:$A$11,"Sí")=1,INDEX(Baterias!$B$2:$B$11,MATCH("Sí",Baterias!$A$2:$A$11,0)),"Revisar selección")</f>
        <v>18650</v>
      </c>
      <c r="F5" s="17"/>
      <c r="G5" s="17"/>
      <c r="H5" s="17"/>
    </row>
    <row r="6">
      <c r="A6" s="20" t="s">
        <v>38</v>
      </c>
      <c r="B6" s="17">
        <v>10.0</v>
      </c>
      <c r="C6" s="17"/>
      <c r="D6" s="20" t="s">
        <v>39</v>
      </c>
      <c r="E6" s="21">
        <f>SUMIF(Baterias!$A$2:$A$11,"Sí",Baterias!$H$2:$H$11)</f>
        <v>3.7</v>
      </c>
      <c r="F6" s="17"/>
      <c r="G6" s="17"/>
      <c r="H6" s="17"/>
    </row>
    <row r="7">
      <c r="A7" s="20" t="s">
        <v>40</v>
      </c>
      <c r="B7" s="22">
        <v>1000000.0</v>
      </c>
      <c r="C7" s="17"/>
      <c r="D7" s="20" t="s">
        <v>41</v>
      </c>
      <c r="E7" s="21">
        <f>SUMIF(Baterias!$A$2:$A$11,"Sí",Baterias!$I$2:$I$11)</f>
        <v>6000</v>
      </c>
      <c r="F7" s="17"/>
      <c r="G7" s="17"/>
      <c r="H7" s="17"/>
    </row>
    <row r="8">
      <c r="A8" s="20" t="s">
        <v>42</v>
      </c>
      <c r="B8" s="17">
        <v>2.0</v>
      </c>
      <c r="C8" s="17"/>
      <c r="D8" s="20" t="s">
        <v>43</v>
      </c>
      <c r="E8" s="21">
        <f>SUMIF(Baterias!$A$2:$A$11,"Sí",Baterias!$L$2:$L$11)</f>
        <v>19.98</v>
      </c>
      <c r="F8" s="17"/>
      <c r="G8" s="17"/>
      <c r="H8" s="17"/>
    </row>
    <row r="9">
      <c r="A9" s="20" t="s">
        <v>46</v>
      </c>
      <c r="B9" s="23">
        <v>0.2</v>
      </c>
      <c r="C9" s="17"/>
      <c r="D9" s="20" t="s">
        <v>47</v>
      </c>
      <c r="E9" s="21">
        <f>SUMIF(Baterias!$A$2:$A$11,"Sí",Baterias!$O$2:$O$11)</f>
        <v>93.2</v>
      </c>
      <c r="F9" s="17"/>
      <c r="G9" s="17"/>
      <c r="H9" s="17"/>
    </row>
    <row r="10">
      <c r="A10" s="24" t="s">
        <v>48</v>
      </c>
      <c r="B10" s="23">
        <v>0.85</v>
      </c>
      <c r="C10" s="17"/>
      <c r="D10" s="20" t="s">
        <v>49</v>
      </c>
      <c r="E10" s="22">
        <f>SUMIF(Baterias!$A$2:$A$11,"Sí",Baterias!$R$2:$R$11)</f>
        <v>0</v>
      </c>
      <c r="F10" s="17"/>
      <c r="G10" s="17"/>
      <c r="H10" s="17"/>
    </row>
    <row r="11">
      <c r="A11" s="17"/>
      <c r="B11" s="17"/>
      <c r="C11" s="17"/>
      <c r="D11" s="24" t="s">
        <v>50</v>
      </c>
      <c r="E11" s="17">
        <f>COUNTIF(Baterias!$A$2:$A$11,"Sí")</f>
        <v>1</v>
      </c>
      <c r="F11" s="17"/>
      <c r="G11" s="17"/>
      <c r="H11" s="17"/>
    </row>
    <row r="12">
      <c r="A12" s="18" t="s">
        <v>51</v>
      </c>
      <c r="E12" s="17"/>
      <c r="F12" s="17"/>
      <c r="G12" s="17"/>
      <c r="H12" s="17"/>
    </row>
    <row r="13">
      <c r="A13" s="19" t="s">
        <v>52</v>
      </c>
      <c r="B13" s="26">
        <f>SUMIFS(Componentes!$P$2:$P$151,Componentes!$C$2:$C$151,"Sí")+SUMIF(Baterias!$A$2:$A$11,"Sí",Baterias!$O$2:$O$11)</f>
        <v>189.7114</v>
      </c>
      <c r="C13" s="17"/>
      <c r="D13" s="18" t="s">
        <v>53</v>
      </c>
    </row>
    <row r="14">
      <c r="A14" s="20" t="s">
        <v>54</v>
      </c>
      <c r="B14" s="17" t="str">
        <f>IF(AND(B13&gt;=B5-B6,B13&lt;=B5+B6),"CUMPLE","REVISAR")</f>
        <v>REVISAR</v>
      </c>
      <c r="C14" s="17"/>
      <c r="D14" s="27" t="s">
        <v>57</v>
      </c>
      <c r="E14" s="28"/>
      <c r="F14" s="28"/>
      <c r="G14" s="28"/>
      <c r="H14" s="29"/>
    </row>
    <row r="15">
      <c r="A15" s="20" t="s">
        <v>59</v>
      </c>
      <c r="B15" s="22">
        <f>SUMIFS(Componentes!$R$2:$R$151,Componentes!$C$2:$C$151,"Sí")+SUMIF(Baterias!$A$2:$A$11,"Sí",Baterias!$R$2:$R$11)</f>
        <v>0</v>
      </c>
      <c r="C15" s="17"/>
      <c r="D15" s="27" t="s">
        <v>63</v>
      </c>
      <c r="E15" s="28"/>
      <c r="F15" s="28"/>
      <c r="G15" s="28"/>
      <c r="H15" s="29"/>
    </row>
    <row r="16">
      <c r="A16" s="20" t="s">
        <v>65</v>
      </c>
      <c r="B16" s="22">
        <f>B7-B15</f>
        <v>1000000</v>
      </c>
      <c r="C16" s="17"/>
      <c r="D16" s="27" t="s">
        <v>67</v>
      </c>
      <c r="E16" s="28"/>
      <c r="F16" s="28"/>
      <c r="G16" s="28"/>
      <c r="H16" s="29"/>
    </row>
    <row r="17">
      <c r="A17" s="20" t="s">
        <v>69</v>
      </c>
      <c r="B17" s="21">
        <f>SUMIFS(Componentes!$N$2:$N$151,Componentes!$C$2:$C$151,"Sí")</f>
        <v>4.068926674</v>
      </c>
      <c r="C17" s="17"/>
      <c r="D17" s="27" t="s">
        <v>73</v>
      </c>
      <c r="E17" s="28"/>
      <c r="F17" s="28"/>
      <c r="G17" s="28"/>
      <c r="H17" s="29"/>
    </row>
    <row r="18">
      <c r="A18" s="20" t="s">
        <v>78</v>
      </c>
      <c r="B18" s="21">
        <f>B17*B8/B10*(1+B9)</f>
        <v>11.48873414</v>
      </c>
      <c r="C18" s="17"/>
      <c r="D18" s="27" t="s">
        <v>83</v>
      </c>
      <c r="E18" s="28"/>
      <c r="F18" s="28"/>
      <c r="G18" s="28"/>
      <c r="H18" s="29"/>
    </row>
    <row r="19">
      <c r="A19" s="20" t="s">
        <v>89</v>
      </c>
      <c r="B19" s="21">
        <f>SUMIF(Baterias!$A$2:$A$11,"Sí",Baterias!$S$2:$S$11)</f>
        <v>1.478230743</v>
      </c>
      <c r="C19" s="17"/>
      <c r="D19" s="17"/>
      <c r="E19" s="17"/>
      <c r="F19" s="17"/>
      <c r="G19" s="17"/>
      <c r="H19" s="17"/>
    </row>
    <row r="20">
      <c r="A20" s="20" t="s">
        <v>98</v>
      </c>
      <c r="B20" s="17" t="str">
        <f>IF(B19="","SIN BATERÍA",IF(B19&gt;=B8,"CUMPLE","NO CUMPLE"))</f>
        <v>NO CUMPLE</v>
      </c>
      <c r="C20" s="17"/>
      <c r="D20" s="17"/>
      <c r="E20" s="17"/>
      <c r="F20" s="17"/>
      <c r="G20" s="17"/>
      <c r="H20" s="17"/>
    </row>
    <row r="21" ht="15.75" customHeight="1">
      <c r="A21" s="24" t="s">
        <v>109</v>
      </c>
      <c r="B21" s="26">
        <f>(B5+B6)-B13</f>
        <v>320.2886</v>
      </c>
      <c r="C21" s="17"/>
      <c r="D21" s="17"/>
      <c r="E21" s="17"/>
      <c r="F21" s="17"/>
      <c r="G21" s="17"/>
      <c r="H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</row>
    <row r="24" ht="15.75" customHeight="1">
      <c r="A24" s="34" t="s">
        <v>1</v>
      </c>
      <c r="B24" s="35" t="s">
        <v>119</v>
      </c>
      <c r="C24" s="35" t="s">
        <v>122</v>
      </c>
      <c r="D24" s="36" t="s">
        <v>123</v>
      </c>
      <c r="E24" s="17"/>
      <c r="F24" s="17"/>
      <c r="G24" s="17"/>
      <c r="H24" s="17"/>
    </row>
    <row r="25" ht="15.75" customHeight="1">
      <c r="A25" s="17" t="s">
        <v>56</v>
      </c>
      <c r="B25" s="26">
        <f>SUMIFS(Componentes!$P$2:$P$151,Componentes!$B$2:$B$151,A25,Componentes!$C$2:$C$151,"Sí")</f>
        <v>22</v>
      </c>
      <c r="C25" s="22">
        <f>SUMIFS(Componentes!$R$2:$R$151,Componentes!$B$2:$B$151,A25,Componentes!$C$2:$C$151,"Sí")</f>
        <v>0</v>
      </c>
      <c r="D25" s="39">
        <f>SUMIFS(Componentes!$N$2:$N$151,Componentes!$B$2:$B$151,A25,Componentes!$C$2:$C$151,"Sí")</f>
        <v>0.02271023876</v>
      </c>
      <c r="E25" s="17"/>
      <c r="F25" s="17"/>
      <c r="G25" s="17"/>
      <c r="H25" s="17"/>
    </row>
    <row r="26" ht="15.75" customHeight="1">
      <c r="A26" s="17" t="s">
        <v>24</v>
      </c>
      <c r="B26" s="26">
        <f>SUMIFS(Componentes!$P$2:$P$151,Componentes!$B$2:$B$151,A26,Componentes!$C$2:$C$151,"Sí")</f>
        <v>36.8114</v>
      </c>
      <c r="C26" s="22">
        <f>SUMIFS(Componentes!$R$2:$R$151,Componentes!$B$2:$B$151,A26,Componentes!$C$2:$C$151,"Sí")</f>
        <v>0</v>
      </c>
      <c r="D26" s="39">
        <f>SUMIFS(Componentes!$N$2:$N$151,Componentes!$B$2:$B$151,A26,Componentes!$C$2:$C$151,"Sí")</f>
        <v>3.175385135</v>
      </c>
      <c r="E26" s="17"/>
      <c r="F26" s="17"/>
      <c r="G26" s="17"/>
      <c r="H26" s="17"/>
    </row>
    <row r="27" ht="15.75" customHeight="1">
      <c r="A27" s="17" t="s">
        <v>140</v>
      </c>
      <c r="B27" s="26">
        <f>SUMIFS(Componentes!$P$2:$P$151,Componentes!$B$2:$B$151,A27,Componentes!$C$2:$C$151,"Sí")</f>
        <v>8</v>
      </c>
      <c r="C27" s="22">
        <f>SUMIFS(Componentes!$R$2:$R$151,Componentes!$B$2:$B$151,A27,Componentes!$C$2:$C$151,"Sí")</f>
        <v>0</v>
      </c>
      <c r="D27" s="39">
        <f>SUMIFS(Componentes!$N$2:$N$151,Componentes!$B$2:$B$151,A27,Componentes!$C$2:$C$151,"Sí")</f>
        <v>0.6385533</v>
      </c>
      <c r="E27" s="17"/>
      <c r="F27" s="17"/>
      <c r="G27" s="17"/>
      <c r="H27" s="17"/>
    </row>
    <row r="28" ht="15.75" customHeight="1">
      <c r="A28" s="17" t="s">
        <v>136</v>
      </c>
      <c r="B28" s="26">
        <f>SUMIFS(Componentes!$P$2:$P$151,Componentes!$B$2:$B$151,A28,Componentes!$C$2:$C$151,"Sí")</f>
        <v>8</v>
      </c>
      <c r="C28" s="22">
        <f>SUMIFS(Componentes!$R$2:$R$151,Componentes!$B$2:$B$151,A28,Componentes!$C$2:$C$151,"Sí")</f>
        <v>0</v>
      </c>
      <c r="D28" s="39">
        <f>SUMIFS(Componentes!$N$2:$N$151,Componentes!$B$2:$B$151,A28,Componentes!$C$2:$C$151,"Sí")</f>
        <v>0.081618</v>
      </c>
      <c r="E28" s="17"/>
      <c r="F28" s="17"/>
      <c r="G28" s="17"/>
      <c r="H28" s="17"/>
    </row>
    <row r="29" ht="15.75" customHeight="1">
      <c r="A29" s="17" t="s">
        <v>146</v>
      </c>
      <c r="B29" s="26">
        <f>SUMIFS(Componentes!$P$2:$P$151,Componentes!$B$2:$B$151,A29,Componentes!$C$2:$C$151,"Sí")</f>
        <v>19</v>
      </c>
      <c r="C29" s="22">
        <f>SUMIFS(Componentes!$R$2:$R$151,Componentes!$B$2:$B$151,A29,Componentes!$C$2:$C$151,"Sí")</f>
        <v>0</v>
      </c>
      <c r="D29" s="39">
        <f>SUMIFS(Componentes!$N$2:$N$151,Componentes!$B$2:$B$151,A29,Componentes!$C$2:$C$151,"Sí")</f>
        <v>0</v>
      </c>
      <c r="E29" s="17"/>
      <c r="F29" s="17"/>
      <c r="G29" s="17"/>
      <c r="H29" s="17"/>
    </row>
    <row r="30" ht="15.75" customHeight="1">
      <c r="A30" s="17" t="s">
        <v>150</v>
      </c>
      <c r="B30" s="26">
        <f>SUMIFS(Componentes!$P$2:$P$151,Componentes!$B$2:$B$151,A30,Componentes!$C$2:$C$151,"Sí")</f>
        <v>2.7</v>
      </c>
      <c r="C30" s="22">
        <f>SUMIFS(Componentes!$R$2:$R$151,Componentes!$B$2:$B$151,A30,Componentes!$C$2:$C$151,"Sí")</f>
        <v>0</v>
      </c>
      <c r="D30" s="39">
        <f>SUMIFS(Componentes!$N$2:$N$151,Componentes!$B$2:$B$151,A30,Componentes!$C$2:$C$151,"Sí")</f>
        <v>0.00066</v>
      </c>
      <c r="E30" s="17"/>
      <c r="F30" s="17"/>
      <c r="G30" s="17"/>
      <c r="H30" s="17"/>
    </row>
    <row r="31" ht="15.75" customHeight="1">
      <c r="A31" s="17" t="s">
        <v>156</v>
      </c>
      <c r="B31" s="26">
        <f>SUMIFS(Componentes!$P$2:$P$151,Componentes!$B$2:$B$151,A31,Componentes!$C$2:$C$151,"Sí")</f>
        <v>0</v>
      </c>
      <c r="C31" s="22">
        <f>SUMIFS(Componentes!$R$2:$R$151,Componentes!$B$2:$B$151,A31,Componentes!$C$2:$C$151,"Sí")</f>
        <v>0</v>
      </c>
      <c r="D31" s="39">
        <f>SUMIFS(Componentes!$N$2:$N$151,Componentes!$B$2:$B$151,A31,Componentes!$C$2:$C$151,"Sí")</f>
        <v>0</v>
      </c>
      <c r="E31" s="17"/>
      <c r="F31" s="17"/>
      <c r="G31" s="17"/>
      <c r="H31" s="17"/>
    </row>
    <row r="32" ht="15.75" customHeight="1">
      <c r="A32" s="17" t="s">
        <v>158</v>
      </c>
      <c r="B32" s="26">
        <f>SUMIFS(Componentes!$P$2:$P$151,Componentes!$B$2:$B$151,A32,Componentes!$C$2:$C$151,"Sí")</f>
        <v>0</v>
      </c>
      <c r="C32" s="22">
        <f>SUMIFS(Componentes!$R$2:$R$151,Componentes!$B$2:$B$151,A32,Componentes!$C$2:$C$151,"Sí")</f>
        <v>0</v>
      </c>
      <c r="D32" s="39">
        <f>SUMIFS(Componentes!$N$2:$N$151,Componentes!$B$2:$B$151,A32,Componentes!$C$2:$C$151,"Sí")</f>
        <v>0.15</v>
      </c>
      <c r="E32" s="17"/>
      <c r="F32" s="17"/>
      <c r="G32" s="17"/>
      <c r="H32" s="17"/>
    </row>
    <row r="33" ht="15.75" customHeight="1">
      <c r="A33" s="17" t="s">
        <v>162</v>
      </c>
      <c r="B33" s="26">
        <f>SUMIFS(Componentes!$P$2:$P$151,Componentes!$B$2:$B$151,A33,Componentes!$C$2:$C$151,"Sí")</f>
        <v>0</v>
      </c>
      <c r="C33" s="22">
        <f>SUMIFS(Componentes!$R$2:$R$151,Componentes!$B$2:$B$151,A33,Componentes!$C$2:$C$151,"Sí")</f>
        <v>0</v>
      </c>
      <c r="D33" s="39">
        <f>SUMIFS(Componentes!$N$2:$N$151,Componentes!$B$2:$B$151,A33,Componentes!$C$2:$C$151,"Sí")</f>
        <v>0</v>
      </c>
      <c r="E33" s="17"/>
      <c r="F33" s="17"/>
      <c r="G33" s="17"/>
      <c r="H33" s="17"/>
    </row>
    <row r="34" ht="15.75" customHeight="1">
      <c r="A34" s="17" t="s">
        <v>165</v>
      </c>
      <c r="B34" s="26">
        <f>SUMIFS(Componentes!$P$2:$P$151,Componentes!$B$2:$B$151,A34,Componentes!$C$2:$C$151,"Sí")</f>
        <v>0</v>
      </c>
      <c r="C34" s="22">
        <f>SUMIFS(Componentes!$R$2:$R$151,Componentes!$B$2:$B$151,A34,Componentes!$C$2:$C$151,"Sí")</f>
        <v>0</v>
      </c>
      <c r="D34" s="39">
        <f>SUMIFS(Componentes!$N$2:$N$151,Componentes!$B$2:$B$151,A34,Componentes!$C$2:$C$151,"Sí")</f>
        <v>0</v>
      </c>
      <c r="E34" s="17"/>
      <c r="F34" s="17"/>
      <c r="G34" s="17"/>
      <c r="H34" s="17"/>
    </row>
    <row r="35" ht="15.75" customHeight="1">
      <c r="A35" s="17" t="s">
        <v>35</v>
      </c>
      <c r="B35" s="26">
        <f>SUMIF(Baterias!$A$2:$A$11,"Sí",Baterias!$O$2:$O$11)</f>
        <v>93.2</v>
      </c>
      <c r="C35" s="22">
        <f>SUMIF(Baterias!$A$2:$A$11,"Sí",Baterias!$R$2:$R$11)</f>
        <v>0</v>
      </c>
      <c r="D35" s="39">
        <v>0.0</v>
      </c>
      <c r="E35" s="17"/>
      <c r="F35" s="17"/>
      <c r="G35" s="17"/>
      <c r="H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</row>
    <row r="38" ht="15.75" customHeight="1">
      <c r="A38" s="18" t="s">
        <v>169</v>
      </c>
      <c r="C38" s="17"/>
      <c r="D38" s="17"/>
      <c r="E38" s="17"/>
      <c r="F38" s="17"/>
      <c r="G38" s="17"/>
      <c r="H38" s="17"/>
    </row>
    <row r="39" ht="15.75" customHeight="1">
      <c r="A39" s="19" t="s">
        <v>171</v>
      </c>
      <c r="B39" s="22">
        <f>SUMIFS(Componentes!$R$2:$R$151,Componentes!$C$2:$C$151,"No")</f>
        <v>0</v>
      </c>
      <c r="C39" s="17"/>
      <c r="D39" s="17"/>
      <c r="E39" s="17"/>
      <c r="F39" s="17"/>
      <c r="G39" s="17"/>
      <c r="H39" s="17"/>
    </row>
    <row r="40" ht="15.75" customHeight="1">
      <c r="A40" s="24" t="s">
        <v>175</v>
      </c>
      <c r="B40" s="22">
        <f>B15+B39</f>
        <v>0</v>
      </c>
      <c r="C40" s="17"/>
      <c r="D40" s="17"/>
      <c r="E40" s="17"/>
      <c r="F40" s="17"/>
      <c r="G40" s="17"/>
      <c r="H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16:H16"/>
    <mergeCell ref="D17:H17"/>
    <mergeCell ref="D18:H18"/>
    <mergeCell ref="A38:B38"/>
    <mergeCell ref="A1:H2"/>
    <mergeCell ref="A4:B4"/>
    <mergeCell ref="D4:E4"/>
    <mergeCell ref="A12:D12"/>
    <mergeCell ref="D13:H13"/>
    <mergeCell ref="D14:H14"/>
    <mergeCell ref="D15:H15"/>
  </mergeCells>
  <conditionalFormatting sqref="B14">
    <cfRule type="expression" dxfId="5" priority="1">
      <formula>B14="CUMPLE"</formula>
    </cfRule>
  </conditionalFormatting>
  <conditionalFormatting sqref="B14">
    <cfRule type="expression" dxfId="6" priority="2">
      <formula>B14="REVISAR"</formula>
    </cfRule>
  </conditionalFormatting>
  <conditionalFormatting sqref="B20">
    <cfRule type="expression" dxfId="5" priority="3">
      <formula>B20="CUMPLE"</formula>
    </cfRule>
  </conditionalFormatting>
  <conditionalFormatting sqref="B20">
    <cfRule type="expression" dxfId="6" priority="4">
      <formula>B20="NO CUMPLE"</formula>
    </cfRule>
  </conditionalFormatting>
  <conditionalFormatting sqref="B16">
    <cfRule type="cellIs" dxfId="6" priority="5" operator="lessThan">
      <formula>0</formula>
    </cfRule>
  </conditionalFormatting>
  <conditionalFormatting sqref="B21">
    <cfRule type="cellIs" dxfId="6" priority="6" operator="lessThan">
      <formula>0</formula>
    </cfRule>
  </conditionalFormatting>
  <conditionalFormatting sqref="E11">
    <cfRule type="cellIs" dxfId="6" priority="7" operator="not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10.0"/>
    <col customWidth="1" min="2" max="2" width="22.0"/>
    <col customWidth="1" min="3" max="3" width="16.0"/>
    <col customWidth="1" min="4" max="5" width="18.0"/>
    <col customWidth="1" min="6" max="6" width="28.0"/>
    <col customWidth="1" min="7" max="7" width="34.0"/>
    <col customWidth="1" min="8" max="8" width="9.0"/>
    <col customWidth="1" min="9" max="9" width="11.0"/>
    <col customWidth="1" min="10" max="11" width="15.0"/>
    <col customWidth="1" min="12" max="12" width="13.0"/>
    <col customWidth="1" min="13" max="15" width="14.0"/>
    <col customWidth="1" min="16" max="16" width="13.0"/>
    <col customWidth="1" min="17" max="19" width="16.0"/>
    <col customWidth="1" min="20" max="20" width="22.0"/>
    <col customWidth="1" min="21" max="21" width="15.0"/>
    <col customWidth="1" min="22" max="22" width="28.0"/>
    <col customWidth="1" min="23" max="23" width="32.0"/>
    <col customWidth="1" min="24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5" t="s">
        <v>28</v>
      </c>
      <c r="G2" s="4" t="s">
        <v>29</v>
      </c>
      <c r="H2" s="6">
        <v>1.0</v>
      </c>
      <c r="I2" s="7">
        <v>3.3</v>
      </c>
      <c r="J2" s="8">
        <f>36</f>
        <v>36</v>
      </c>
      <c r="K2" s="9">
        <f>5.5</f>
        <v>5.5</v>
      </c>
      <c r="L2" s="10">
        <f t="shared" ref="L2:L3" si="1">1</f>
        <v>1</v>
      </c>
      <c r="M2" s="11">
        <f t="shared" ref="M2:M151" si="2">IF(OR(F2="",L2=""),"",H2*(J2*L2+K2*(1-L2)))</f>
        <v>36</v>
      </c>
      <c r="N2" s="12">
        <f t="shared" ref="N2:N151" si="3">IF(M2="","",I2*M2/1000)</f>
        <v>0.1188</v>
      </c>
      <c r="O2" s="13">
        <v>8.0</v>
      </c>
      <c r="P2" s="14">
        <f t="shared" ref="P2:P151" si="4">IF(F2="","",H2*O2)</f>
        <v>8</v>
      </c>
      <c r="Q2" s="15"/>
      <c r="R2" s="15">
        <f t="shared" ref="R2:R151" si="5">IF(F2="","",H2*Q2)</f>
        <v>0</v>
      </c>
      <c r="S2" s="4"/>
      <c r="T2" s="4"/>
      <c r="U2" s="5" t="s">
        <v>30</v>
      </c>
      <c r="V2" s="4"/>
      <c r="W2" s="4"/>
    </row>
    <row r="3">
      <c r="A3" s="5" t="s">
        <v>31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32</v>
      </c>
      <c r="G3" s="5" t="s">
        <v>29</v>
      </c>
      <c r="H3" s="6">
        <f>1</f>
        <v>1</v>
      </c>
      <c r="I3" s="7">
        <f t="shared" ref="I3:I4" si="6">3.3</f>
        <v>3.3</v>
      </c>
      <c r="J3" s="8">
        <f>47.3</f>
        <v>47.3</v>
      </c>
      <c r="K3" s="9">
        <f>36.1</f>
        <v>36.1</v>
      </c>
      <c r="L3" s="10">
        <f t="shared" si="1"/>
        <v>1</v>
      </c>
      <c r="M3" s="11">
        <f t="shared" si="2"/>
        <v>47.3</v>
      </c>
      <c r="N3" s="12">
        <f t="shared" si="3"/>
        <v>0.15609</v>
      </c>
      <c r="O3" s="13">
        <f>15</f>
        <v>15</v>
      </c>
      <c r="P3" s="14">
        <f t="shared" si="4"/>
        <v>15</v>
      </c>
      <c r="Q3" s="15"/>
      <c r="R3" s="15">
        <f t="shared" si="5"/>
        <v>0</v>
      </c>
      <c r="S3" s="4"/>
      <c r="T3" s="4"/>
      <c r="U3" s="5" t="s">
        <v>44</v>
      </c>
      <c r="V3" s="25" t="s">
        <v>45</v>
      </c>
      <c r="W3" s="4"/>
    </row>
    <row r="4">
      <c r="A4" s="5" t="s">
        <v>55</v>
      </c>
      <c r="B4" s="4" t="s">
        <v>56</v>
      </c>
      <c r="C4" s="4" t="s">
        <v>25</v>
      </c>
      <c r="D4" s="4" t="s">
        <v>58</v>
      </c>
      <c r="E4" s="4" t="s">
        <v>60</v>
      </c>
      <c r="F4" s="5" t="s">
        <v>61</v>
      </c>
      <c r="G4" s="4" t="s">
        <v>62</v>
      </c>
      <c r="H4" s="6">
        <v>1.0</v>
      </c>
      <c r="I4" s="7">
        <f t="shared" si="6"/>
        <v>3.3</v>
      </c>
      <c r="J4" s="8">
        <f>0.72</f>
        <v>0.72</v>
      </c>
      <c r="K4" s="9">
        <f>0.0001</f>
        <v>0.0001</v>
      </c>
      <c r="L4" s="32">
        <f>0.00375</f>
        <v>0.00375</v>
      </c>
      <c r="M4" s="11">
        <f t="shared" si="2"/>
        <v>0.002799625</v>
      </c>
      <c r="N4" s="12">
        <f t="shared" si="3"/>
        <v>0.0000092387625</v>
      </c>
      <c r="O4" s="13">
        <v>2.0</v>
      </c>
      <c r="P4" s="14">
        <f t="shared" si="4"/>
        <v>2</v>
      </c>
      <c r="Q4" s="15"/>
      <c r="R4" s="15">
        <f t="shared" si="5"/>
        <v>0</v>
      </c>
      <c r="S4" s="4" t="s">
        <v>86</v>
      </c>
      <c r="T4" s="4"/>
      <c r="U4" s="5" t="s">
        <v>44</v>
      </c>
      <c r="V4" s="4"/>
      <c r="W4" s="4"/>
    </row>
    <row r="5">
      <c r="A5" s="5" t="s">
        <v>99</v>
      </c>
      <c r="B5" s="4" t="s">
        <v>56</v>
      </c>
      <c r="C5" s="4" t="s">
        <v>25</v>
      </c>
      <c r="D5" s="4" t="s">
        <v>58</v>
      </c>
      <c r="E5" s="4" t="s">
        <v>105</v>
      </c>
      <c r="F5" s="5" t="s">
        <v>108</v>
      </c>
      <c r="G5" s="4" t="s">
        <v>110</v>
      </c>
      <c r="H5" s="6">
        <v>1.0</v>
      </c>
      <c r="I5" s="7">
        <f>5</f>
        <v>5</v>
      </c>
      <c r="J5" s="8">
        <f>3.9</f>
        <v>3.9</v>
      </c>
      <c r="K5" s="9">
        <f>0.005</f>
        <v>0.005</v>
      </c>
      <c r="L5" s="10">
        <f>1</f>
        <v>1</v>
      </c>
      <c r="M5" s="11">
        <f t="shared" si="2"/>
        <v>3.9</v>
      </c>
      <c r="N5" s="12">
        <f t="shared" si="3"/>
        <v>0.0195</v>
      </c>
      <c r="O5" s="13">
        <f>2.1</f>
        <v>2.1</v>
      </c>
      <c r="P5" s="14">
        <f t="shared" si="4"/>
        <v>2.1</v>
      </c>
      <c r="Q5" s="15"/>
      <c r="R5" s="15">
        <f t="shared" si="5"/>
        <v>0</v>
      </c>
      <c r="S5" s="4" t="s">
        <v>86</v>
      </c>
      <c r="T5" s="4"/>
      <c r="U5" s="5" t="s">
        <v>44</v>
      </c>
      <c r="V5" s="4"/>
      <c r="W5" s="4"/>
    </row>
    <row r="6">
      <c r="A6" s="5" t="s">
        <v>135</v>
      </c>
      <c r="B6" s="4" t="s">
        <v>136</v>
      </c>
      <c r="C6" s="4" t="s">
        <v>25</v>
      </c>
      <c r="D6" s="4" t="s">
        <v>58</v>
      </c>
      <c r="E6" s="4" t="s">
        <v>137</v>
      </c>
      <c r="F6" s="40" t="s">
        <v>138</v>
      </c>
      <c r="G6" s="4" t="s">
        <v>139</v>
      </c>
      <c r="H6" s="6">
        <v>1.0</v>
      </c>
      <c r="I6" s="7">
        <f>3</f>
        <v>3</v>
      </c>
      <c r="J6" s="8">
        <f>34</f>
        <v>34</v>
      </c>
      <c r="K6" s="9">
        <f>0.03</f>
        <v>0.03</v>
      </c>
      <c r="L6" s="10">
        <f>0.8</f>
        <v>0.8</v>
      </c>
      <c r="M6" s="11">
        <f t="shared" si="2"/>
        <v>27.206</v>
      </c>
      <c r="N6" s="12">
        <f t="shared" si="3"/>
        <v>0.081618</v>
      </c>
      <c r="O6" s="5">
        <f t="shared" ref="O6:O8" si="7">8</f>
        <v>8</v>
      </c>
      <c r="P6" s="14">
        <f t="shared" si="4"/>
        <v>8</v>
      </c>
      <c r="Q6" s="15"/>
      <c r="R6" s="15">
        <f t="shared" si="5"/>
        <v>0</v>
      </c>
      <c r="S6" s="4" t="s">
        <v>141</v>
      </c>
      <c r="T6" s="4"/>
      <c r="U6" s="5" t="s">
        <v>44</v>
      </c>
      <c r="V6" s="4"/>
      <c r="W6" s="4"/>
    </row>
    <row r="7">
      <c r="A7" s="5" t="s">
        <v>142</v>
      </c>
      <c r="B7" s="4" t="s">
        <v>140</v>
      </c>
      <c r="C7" s="4" t="s">
        <v>25</v>
      </c>
      <c r="D7" s="4" t="s">
        <v>26</v>
      </c>
      <c r="E7" s="4" t="s">
        <v>143</v>
      </c>
      <c r="F7" s="5" t="s">
        <v>144</v>
      </c>
      <c r="G7" s="4" t="s">
        <v>145</v>
      </c>
      <c r="H7" s="6">
        <v>1.0</v>
      </c>
      <c r="I7" s="38">
        <f>3.3</f>
        <v>3.3</v>
      </c>
      <c r="J7" s="12">
        <f>215</f>
        <v>215</v>
      </c>
      <c r="K7" s="42">
        <f>0.01</f>
        <v>0.01</v>
      </c>
      <c r="L7" s="10">
        <f>0.9</f>
        <v>0.9</v>
      </c>
      <c r="M7" s="11">
        <f t="shared" si="2"/>
        <v>193.501</v>
      </c>
      <c r="N7" s="12">
        <f t="shared" si="3"/>
        <v>0.6385533</v>
      </c>
      <c r="O7" s="14">
        <f t="shared" si="7"/>
        <v>8</v>
      </c>
      <c r="P7" s="14">
        <f t="shared" si="4"/>
        <v>8</v>
      </c>
      <c r="Q7" s="15"/>
      <c r="R7" s="15">
        <f t="shared" si="5"/>
        <v>0</v>
      </c>
      <c r="S7" s="4" t="s">
        <v>147</v>
      </c>
      <c r="T7" s="4" t="s">
        <v>148</v>
      </c>
      <c r="U7" s="5" t="s">
        <v>44</v>
      </c>
      <c r="V7" s="4"/>
      <c r="W7" s="4"/>
    </row>
    <row r="8">
      <c r="A8" s="5" t="s">
        <v>149</v>
      </c>
      <c r="B8" s="4" t="s">
        <v>146</v>
      </c>
      <c r="C8" s="4" t="s">
        <v>25</v>
      </c>
      <c r="D8" s="4" t="s">
        <v>58</v>
      </c>
      <c r="E8" s="4" t="s">
        <v>151</v>
      </c>
      <c r="F8" s="43" t="s">
        <v>152</v>
      </c>
      <c r="G8" s="5" t="s">
        <v>153</v>
      </c>
      <c r="H8" s="6">
        <f>2</f>
        <v>2</v>
      </c>
      <c r="I8" s="7">
        <f>5</f>
        <v>5</v>
      </c>
      <c r="J8" s="8">
        <f>140</f>
        <v>140</v>
      </c>
      <c r="K8" s="9">
        <f>38.3</f>
        <v>38.3</v>
      </c>
      <c r="L8" s="10"/>
      <c r="M8" s="11" t="str">
        <f t="shared" si="2"/>
        <v/>
      </c>
      <c r="N8" s="12" t="str">
        <f t="shared" si="3"/>
        <v/>
      </c>
      <c r="O8" s="5">
        <f t="shared" si="7"/>
        <v>8</v>
      </c>
      <c r="P8" s="14">
        <f t="shared" si="4"/>
        <v>16</v>
      </c>
      <c r="Q8" s="15"/>
      <c r="R8" s="15">
        <f t="shared" si="5"/>
        <v>0</v>
      </c>
      <c r="S8" s="4"/>
      <c r="T8" s="4"/>
      <c r="U8" s="5" t="s">
        <v>44</v>
      </c>
      <c r="V8" s="4"/>
      <c r="W8" s="4"/>
    </row>
    <row r="9">
      <c r="A9" s="4" t="s">
        <v>157</v>
      </c>
      <c r="B9" s="4" t="s">
        <v>150</v>
      </c>
      <c r="C9" s="4" t="s">
        <v>25</v>
      </c>
      <c r="D9" s="4" t="s">
        <v>26</v>
      </c>
      <c r="E9" s="4" t="s">
        <v>159</v>
      </c>
      <c r="F9" s="5" t="s">
        <v>160</v>
      </c>
      <c r="G9" s="4" t="s">
        <v>161</v>
      </c>
      <c r="H9" s="6">
        <f>3</f>
        <v>3</v>
      </c>
      <c r="I9" s="7">
        <f>3.3</f>
        <v>3.3</v>
      </c>
      <c r="J9" s="8"/>
      <c r="K9" s="9"/>
      <c r="L9" s="10"/>
      <c r="M9" s="11" t="str">
        <f t="shared" si="2"/>
        <v/>
      </c>
      <c r="N9" s="12" t="str">
        <f t="shared" si="3"/>
        <v/>
      </c>
      <c r="O9" s="13">
        <f>0.5</f>
        <v>0.5</v>
      </c>
      <c r="P9" s="14">
        <f t="shared" si="4"/>
        <v>1.5</v>
      </c>
      <c r="Q9" s="15"/>
      <c r="R9" s="15">
        <f t="shared" si="5"/>
        <v>0</v>
      </c>
      <c r="S9" s="4" t="s">
        <v>163</v>
      </c>
      <c r="T9" s="4"/>
      <c r="U9" s="5" t="s">
        <v>44</v>
      </c>
      <c r="V9" s="4"/>
      <c r="W9" s="4"/>
    </row>
    <row r="10">
      <c r="A10" s="4" t="s">
        <v>164</v>
      </c>
      <c r="B10" s="4" t="s">
        <v>158</v>
      </c>
      <c r="C10" s="4" t="s">
        <v>25</v>
      </c>
      <c r="D10" s="4" t="s">
        <v>58</v>
      </c>
      <c r="E10" s="4" t="s">
        <v>166</v>
      </c>
      <c r="F10" s="4"/>
      <c r="G10" s="4" t="s">
        <v>167</v>
      </c>
      <c r="H10" s="6">
        <v>1.0</v>
      </c>
      <c r="I10" s="38"/>
      <c r="J10" s="12"/>
      <c r="K10" s="42"/>
      <c r="L10" s="10"/>
      <c r="M10" s="11" t="str">
        <f t="shared" si="2"/>
        <v/>
      </c>
      <c r="N10" s="12" t="str">
        <f t="shared" si="3"/>
        <v/>
      </c>
      <c r="O10" s="13"/>
      <c r="P10" s="14" t="str">
        <f t="shared" si="4"/>
        <v/>
      </c>
      <c r="Q10" s="15"/>
      <c r="R10" s="15" t="str">
        <f t="shared" si="5"/>
        <v/>
      </c>
      <c r="S10" s="4"/>
      <c r="T10" s="4"/>
      <c r="U10" s="4" t="s">
        <v>168</v>
      </c>
      <c r="V10" s="4"/>
      <c r="W10" s="4"/>
    </row>
    <row r="11">
      <c r="A11" s="4" t="s">
        <v>170</v>
      </c>
      <c r="B11" s="4" t="s">
        <v>158</v>
      </c>
      <c r="C11" s="4" t="s">
        <v>25</v>
      </c>
      <c r="D11" s="4" t="s">
        <v>58</v>
      </c>
      <c r="E11" s="4" t="s">
        <v>172</v>
      </c>
      <c r="F11" s="43" t="s">
        <v>173</v>
      </c>
      <c r="G11" s="4" t="s">
        <v>174</v>
      </c>
      <c r="H11" s="6">
        <v>1.0</v>
      </c>
      <c r="I11" s="7">
        <f>5</f>
        <v>5</v>
      </c>
      <c r="J11" s="8">
        <v>30.0</v>
      </c>
      <c r="K11" s="9">
        <v>0.001</v>
      </c>
      <c r="L11" s="10">
        <f>1</f>
        <v>1</v>
      </c>
      <c r="M11" s="11">
        <f t="shared" si="2"/>
        <v>30</v>
      </c>
      <c r="N11" s="12">
        <f t="shared" si="3"/>
        <v>0.15</v>
      </c>
      <c r="O11" s="14"/>
      <c r="P11" s="14">
        <f t="shared" si="4"/>
        <v>0</v>
      </c>
      <c r="Q11" s="15"/>
      <c r="R11" s="15">
        <f t="shared" si="5"/>
        <v>0</v>
      </c>
      <c r="S11" s="4"/>
      <c r="T11" s="4"/>
      <c r="U11" s="5" t="s">
        <v>44</v>
      </c>
      <c r="V11" s="4"/>
      <c r="W11" s="4"/>
    </row>
    <row r="12">
      <c r="A12" s="4" t="s">
        <v>176</v>
      </c>
      <c r="B12" s="4" t="s">
        <v>156</v>
      </c>
      <c r="C12" s="4" t="s">
        <v>25</v>
      </c>
      <c r="D12" s="4" t="s">
        <v>26</v>
      </c>
      <c r="E12" s="4" t="s">
        <v>177</v>
      </c>
      <c r="F12" s="4"/>
      <c r="G12" s="4" t="s">
        <v>178</v>
      </c>
      <c r="H12" s="6">
        <v>1.0</v>
      </c>
      <c r="I12" s="38"/>
      <c r="J12" s="12"/>
      <c r="K12" s="42"/>
      <c r="L12" s="10"/>
      <c r="M12" s="11" t="str">
        <f t="shared" si="2"/>
        <v/>
      </c>
      <c r="N12" s="12" t="str">
        <f t="shared" si="3"/>
        <v/>
      </c>
      <c r="O12" s="14"/>
      <c r="P12" s="14" t="str">
        <f t="shared" si="4"/>
        <v/>
      </c>
      <c r="Q12" s="15"/>
      <c r="R12" s="15" t="str">
        <f t="shared" si="5"/>
        <v/>
      </c>
      <c r="S12" s="4"/>
      <c r="T12" s="4"/>
      <c r="U12" s="4" t="s">
        <v>168</v>
      </c>
      <c r="V12" s="4"/>
      <c r="W12" s="4"/>
    </row>
    <row r="13">
      <c r="A13" s="4" t="s">
        <v>179</v>
      </c>
      <c r="B13" s="4" t="s">
        <v>156</v>
      </c>
      <c r="C13" s="4" t="s">
        <v>25</v>
      </c>
      <c r="D13" s="4" t="s">
        <v>26</v>
      </c>
      <c r="E13" s="4" t="s">
        <v>180</v>
      </c>
      <c r="F13" s="4"/>
      <c r="G13" s="4" t="s">
        <v>181</v>
      </c>
      <c r="H13" s="6">
        <v>1.0</v>
      </c>
      <c r="I13" s="38"/>
      <c r="J13" s="12"/>
      <c r="K13" s="42"/>
      <c r="L13" s="10"/>
      <c r="M13" s="11" t="str">
        <f t="shared" si="2"/>
        <v/>
      </c>
      <c r="N13" s="12" t="str">
        <f t="shared" si="3"/>
        <v/>
      </c>
      <c r="O13" s="14"/>
      <c r="P13" s="14" t="str">
        <f t="shared" si="4"/>
        <v/>
      </c>
      <c r="Q13" s="15"/>
      <c r="R13" s="15" t="str">
        <f t="shared" si="5"/>
        <v/>
      </c>
      <c r="S13" s="4"/>
      <c r="T13" s="4"/>
      <c r="U13" s="4" t="s">
        <v>168</v>
      </c>
      <c r="V13" s="4"/>
      <c r="W13" s="4"/>
    </row>
    <row r="14">
      <c r="A14" s="4" t="s">
        <v>182</v>
      </c>
      <c r="B14" s="4" t="s">
        <v>56</v>
      </c>
      <c r="C14" s="4" t="s">
        <v>25</v>
      </c>
      <c r="D14" s="4" t="s">
        <v>58</v>
      </c>
      <c r="E14" s="4" t="s">
        <v>183</v>
      </c>
      <c r="F14" s="43" t="s">
        <v>184</v>
      </c>
      <c r="G14" s="4" t="s">
        <v>185</v>
      </c>
      <c r="H14" s="6">
        <v>1.0</v>
      </c>
      <c r="I14" s="7"/>
      <c r="J14" s="8"/>
      <c r="K14" s="42"/>
      <c r="L14" s="10"/>
      <c r="M14" s="11" t="str">
        <f t="shared" si="2"/>
        <v/>
      </c>
      <c r="N14" s="12" t="str">
        <f t="shared" si="3"/>
        <v/>
      </c>
      <c r="O14" s="13">
        <v>14.0</v>
      </c>
      <c r="P14" s="14">
        <f t="shared" si="4"/>
        <v>14</v>
      </c>
      <c r="Q14" s="15"/>
      <c r="R14" s="15">
        <f t="shared" si="5"/>
        <v>0</v>
      </c>
      <c r="S14" s="4"/>
      <c r="T14" s="4"/>
      <c r="U14" s="5" t="s">
        <v>186</v>
      </c>
      <c r="V14" s="25" t="s">
        <v>187</v>
      </c>
      <c r="W14" s="4"/>
    </row>
    <row r="15">
      <c r="A15" s="4" t="s">
        <v>188</v>
      </c>
      <c r="B15" s="4" t="s">
        <v>162</v>
      </c>
      <c r="C15" s="4" t="s">
        <v>25</v>
      </c>
      <c r="D15" s="4" t="s">
        <v>162</v>
      </c>
      <c r="E15" s="4" t="s">
        <v>189</v>
      </c>
      <c r="F15" s="4"/>
      <c r="G15" s="4" t="s">
        <v>190</v>
      </c>
      <c r="H15" s="6">
        <v>1.0</v>
      </c>
      <c r="I15" s="38"/>
      <c r="J15" s="12"/>
      <c r="K15" s="42"/>
      <c r="L15" s="10"/>
      <c r="M15" s="11" t="str">
        <f t="shared" si="2"/>
        <v/>
      </c>
      <c r="N15" s="12" t="str">
        <f t="shared" si="3"/>
        <v/>
      </c>
      <c r="O15" s="14"/>
      <c r="P15" s="14" t="str">
        <f t="shared" si="4"/>
        <v/>
      </c>
      <c r="Q15" s="15"/>
      <c r="R15" s="15" t="str">
        <f t="shared" si="5"/>
        <v/>
      </c>
      <c r="S15" s="4"/>
      <c r="T15" s="4"/>
      <c r="U15" s="4" t="s">
        <v>168</v>
      </c>
      <c r="V15" s="4"/>
      <c r="W15" s="4"/>
    </row>
    <row r="16">
      <c r="A16" s="4" t="s">
        <v>191</v>
      </c>
      <c r="B16" s="4" t="s">
        <v>192</v>
      </c>
      <c r="C16" s="4" t="s">
        <v>154</v>
      </c>
      <c r="D16" s="4" t="s">
        <v>26</v>
      </c>
      <c r="E16" s="4" t="s">
        <v>143</v>
      </c>
      <c r="F16" s="4"/>
      <c r="G16" s="4" t="s">
        <v>193</v>
      </c>
      <c r="H16" s="6">
        <v>1.0</v>
      </c>
      <c r="I16" s="38"/>
      <c r="J16" s="12"/>
      <c r="K16" s="42"/>
      <c r="L16" s="10"/>
      <c r="M16" s="11" t="str">
        <f t="shared" si="2"/>
        <v/>
      </c>
      <c r="N16" s="12" t="str">
        <f t="shared" si="3"/>
        <v/>
      </c>
      <c r="O16" s="14"/>
      <c r="P16" s="14" t="str">
        <f t="shared" si="4"/>
        <v/>
      </c>
      <c r="Q16" s="15"/>
      <c r="R16" s="15" t="str">
        <f t="shared" si="5"/>
        <v/>
      </c>
      <c r="S16" s="4"/>
      <c r="T16" s="4"/>
      <c r="U16" s="4" t="s">
        <v>168</v>
      </c>
      <c r="V16" s="4"/>
      <c r="W16" s="4"/>
    </row>
    <row r="17">
      <c r="A17" s="4" t="s">
        <v>194</v>
      </c>
      <c r="B17" s="4" t="s">
        <v>192</v>
      </c>
      <c r="C17" s="4" t="s">
        <v>154</v>
      </c>
      <c r="D17" s="4" t="s">
        <v>26</v>
      </c>
      <c r="E17" s="4" t="s">
        <v>195</v>
      </c>
      <c r="F17" s="4"/>
      <c r="G17" s="4" t="s">
        <v>196</v>
      </c>
      <c r="H17" s="6">
        <v>1.0</v>
      </c>
      <c r="I17" s="38"/>
      <c r="J17" s="12"/>
      <c r="K17" s="42"/>
      <c r="L17" s="10"/>
      <c r="M17" s="11" t="str">
        <f t="shared" si="2"/>
        <v/>
      </c>
      <c r="N17" s="12" t="str">
        <f t="shared" si="3"/>
        <v/>
      </c>
      <c r="O17" s="14"/>
      <c r="P17" s="14" t="str">
        <f t="shared" si="4"/>
        <v/>
      </c>
      <c r="Q17" s="15"/>
      <c r="R17" s="15" t="str">
        <f t="shared" si="5"/>
        <v/>
      </c>
      <c r="S17" s="4"/>
      <c r="T17" s="4"/>
      <c r="U17" s="4" t="s">
        <v>168</v>
      </c>
      <c r="V17" s="4"/>
      <c r="W17" s="4"/>
    </row>
    <row r="18">
      <c r="A18" s="4" t="s">
        <v>197</v>
      </c>
      <c r="B18" s="4" t="s">
        <v>192</v>
      </c>
      <c r="C18" s="4" t="s">
        <v>154</v>
      </c>
      <c r="D18" s="4" t="s">
        <v>26</v>
      </c>
      <c r="E18" s="4" t="s">
        <v>198</v>
      </c>
      <c r="F18" s="4"/>
      <c r="G18" s="4" t="s">
        <v>199</v>
      </c>
      <c r="H18" s="6">
        <v>1.0</v>
      </c>
      <c r="I18" s="38"/>
      <c r="J18" s="12"/>
      <c r="K18" s="42"/>
      <c r="L18" s="10"/>
      <c r="M18" s="11" t="str">
        <f t="shared" si="2"/>
        <v/>
      </c>
      <c r="N18" s="12" t="str">
        <f t="shared" si="3"/>
        <v/>
      </c>
      <c r="O18" s="14"/>
      <c r="P18" s="14" t="str">
        <f t="shared" si="4"/>
        <v/>
      </c>
      <c r="Q18" s="15"/>
      <c r="R18" s="15" t="str">
        <f t="shared" si="5"/>
        <v/>
      </c>
      <c r="S18" s="4"/>
      <c r="T18" s="4"/>
      <c r="U18" s="4" t="s">
        <v>168</v>
      </c>
      <c r="V18" s="4"/>
      <c r="W18" s="4"/>
    </row>
    <row r="19">
      <c r="A19" s="5" t="s">
        <v>200</v>
      </c>
      <c r="B19" s="5" t="s">
        <v>56</v>
      </c>
      <c r="C19" s="5" t="s">
        <v>25</v>
      </c>
      <c r="D19" s="5" t="s">
        <v>58</v>
      </c>
      <c r="E19" s="5" t="s">
        <v>60</v>
      </c>
      <c r="F19" s="5" t="s">
        <v>201</v>
      </c>
      <c r="G19" s="5" t="s">
        <v>202</v>
      </c>
      <c r="H19" s="6">
        <f t="shared" ref="H19:H21" si="8">1</f>
        <v>1</v>
      </c>
      <c r="I19" s="38">
        <f t="shared" ref="I19:I21" si="9">3.3</f>
        <v>3.3</v>
      </c>
      <c r="J19" s="12">
        <f>0.7</f>
        <v>0.7</v>
      </c>
      <c r="K19" s="42">
        <f>0.006</f>
        <v>0.006</v>
      </c>
      <c r="L19" s="10">
        <f t="shared" ref="L19:L21" si="10">1</f>
        <v>1</v>
      </c>
      <c r="M19" s="11">
        <f t="shared" si="2"/>
        <v>0.7</v>
      </c>
      <c r="N19" s="12">
        <f t="shared" si="3"/>
        <v>0.00231</v>
      </c>
      <c r="O19" s="14">
        <f>2</f>
        <v>2</v>
      </c>
      <c r="P19" s="14">
        <f t="shared" si="4"/>
        <v>2</v>
      </c>
      <c r="Q19" s="15"/>
      <c r="R19" s="15">
        <f t="shared" si="5"/>
        <v>0</v>
      </c>
      <c r="S19" s="4"/>
      <c r="T19" s="4"/>
      <c r="U19" s="5" t="s">
        <v>44</v>
      </c>
      <c r="V19" s="4"/>
      <c r="W19" s="4"/>
    </row>
    <row r="20">
      <c r="A20" s="5" t="s">
        <v>203</v>
      </c>
      <c r="B20" s="5" t="s">
        <v>150</v>
      </c>
      <c r="C20" s="5" t="s">
        <v>25</v>
      </c>
      <c r="D20" s="5" t="s">
        <v>26</v>
      </c>
      <c r="E20" s="5" t="s">
        <v>159</v>
      </c>
      <c r="F20" s="5" t="s">
        <v>204</v>
      </c>
      <c r="G20" s="5" t="s">
        <v>205</v>
      </c>
      <c r="H20" s="6">
        <f t="shared" si="8"/>
        <v>1</v>
      </c>
      <c r="I20" s="38">
        <f t="shared" si="9"/>
        <v>3.3</v>
      </c>
      <c r="J20" s="12">
        <f>0.2</f>
        <v>0.2</v>
      </c>
      <c r="K20" s="42">
        <f>0.027</f>
        <v>0.027</v>
      </c>
      <c r="L20" s="10">
        <f t="shared" si="10"/>
        <v>1</v>
      </c>
      <c r="M20" s="11">
        <f t="shared" si="2"/>
        <v>0.2</v>
      </c>
      <c r="N20" s="12">
        <f t="shared" si="3"/>
        <v>0.00066</v>
      </c>
      <c r="O20" s="14">
        <f>1.2</f>
        <v>1.2</v>
      </c>
      <c r="P20" s="14">
        <f t="shared" si="4"/>
        <v>1.2</v>
      </c>
      <c r="Q20" s="15"/>
      <c r="R20" s="15">
        <f t="shared" si="5"/>
        <v>0</v>
      </c>
      <c r="S20" s="4"/>
      <c r="T20" s="4"/>
      <c r="U20" s="5" t="s">
        <v>44</v>
      </c>
      <c r="V20" s="4"/>
      <c r="W20" s="4"/>
    </row>
    <row r="21" ht="15.75" customHeight="1">
      <c r="A21" s="5" t="s">
        <v>206</v>
      </c>
      <c r="B21" s="5" t="s">
        <v>56</v>
      </c>
      <c r="C21" s="5" t="s">
        <v>25</v>
      </c>
      <c r="D21" s="5" t="s">
        <v>162</v>
      </c>
      <c r="E21" s="5" t="s">
        <v>207</v>
      </c>
      <c r="F21" s="5" t="s">
        <v>208</v>
      </c>
      <c r="G21" s="5" t="s">
        <v>209</v>
      </c>
      <c r="H21" s="6">
        <f t="shared" si="8"/>
        <v>1</v>
      </c>
      <c r="I21" s="38">
        <f t="shared" si="9"/>
        <v>3.3</v>
      </c>
      <c r="J21" s="12">
        <f>0.27</f>
        <v>0.27</v>
      </c>
      <c r="K21" s="42">
        <f>0.001</f>
        <v>0.001</v>
      </c>
      <c r="L21" s="10">
        <f t="shared" si="10"/>
        <v>1</v>
      </c>
      <c r="M21" s="11">
        <f t="shared" si="2"/>
        <v>0.27</v>
      </c>
      <c r="N21" s="12">
        <f t="shared" si="3"/>
        <v>0.000891</v>
      </c>
      <c r="O21" s="14">
        <f>1.5</f>
        <v>1.5</v>
      </c>
      <c r="P21" s="14">
        <f t="shared" si="4"/>
        <v>1.5</v>
      </c>
      <c r="Q21" s="15"/>
      <c r="R21" s="15">
        <f t="shared" si="5"/>
        <v>0</v>
      </c>
      <c r="S21" s="4"/>
      <c r="T21" s="4"/>
      <c r="U21" s="5" t="s">
        <v>44</v>
      </c>
      <c r="V21" s="4"/>
      <c r="W21" s="4"/>
    </row>
    <row r="22" ht="15.75" customHeight="1">
      <c r="A22" s="5" t="s">
        <v>210</v>
      </c>
      <c r="B22" s="5" t="s">
        <v>56</v>
      </c>
      <c r="C22" s="5" t="s">
        <v>25</v>
      </c>
      <c r="D22" s="5" t="s">
        <v>162</v>
      </c>
      <c r="E22" s="5" t="s">
        <v>60</v>
      </c>
      <c r="F22" s="5" t="s">
        <v>211</v>
      </c>
      <c r="G22" s="5" t="s">
        <v>212</v>
      </c>
      <c r="H22" s="6">
        <f>4</f>
        <v>4</v>
      </c>
      <c r="I22" s="38">
        <f t="shared" ref="I22:L22" si="11">0</f>
        <v>0</v>
      </c>
      <c r="J22" s="12">
        <f t="shared" si="11"/>
        <v>0</v>
      </c>
      <c r="K22" s="42">
        <f t="shared" si="11"/>
        <v>0</v>
      </c>
      <c r="L22" s="10">
        <f t="shared" si="11"/>
        <v>0</v>
      </c>
      <c r="M22" s="11">
        <f t="shared" si="2"/>
        <v>0</v>
      </c>
      <c r="N22" s="12">
        <f t="shared" si="3"/>
        <v>0</v>
      </c>
      <c r="O22" s="14">
        <f>0.1</f>
        <v>0.1</v>
      </c>
      <c r="P22" s="14">
        <f t="shared" si="4"/>
        <v>0.4</v>
      </c>
      <c r="Q22" s="15"/>
      <c r="R22" s="15">
        <f t="shared" si="5"/>
        <v>0</v>
      </c>
      <c r="S22" s="4"/>
      <c r="T22" s="4"/>
      <c r="U22" s="5" t="s">
        <v>44</v>
      </c>
      <c r="V22" s="4"/>
      <c r="W22" s="4"/>
    </row>
    <row r="23" ht="15.75" customHeight="1">
      <c r="A23" s="5" t="s">
        <v>213</v>
      </c>
      <c r="B23" s="5" t="s">
        <v>24</v>
      </c>
      <c r="C23" s="5" t="s">
        <v>25</v>
      </c>
      <c r="D23" s="5" t="s">
        <v>26</v>
      </c>
      <c r="E23" s="5" t="s">
        <v>214</v>
      </c>
      <c r="F23" s="5" t="s">
        <v>215</v>
      </c>
      <c r="G23" s="5" t="s">
        <v>216</v>
      </c>
      <c r="H23" s="6">
        <f t="shared" ref="H23:H26" si="12">1</f>
        <v>1</v>
      </c>
      <c r="I23" s="38">
        <f>3.3</f>
        <v>3.3</v>
      </c>
      <c r="J23" s="12">
        <f>0.15</f>
        <v>0.15</v>
      </c>
      <c r="K23" s="42">
        <f>0.0005</f>
        <v>0.0005</v>
      </c>
      <c r="L23" s="10">
        <f>1</f>
        <v>1</v>
      </c>
      <c r="M23" s="11">
        <f t="shared" si="2"/>
        <v>0.15</v>
      </c>
      <c r="N23" s="12">
        <f t="shared" si="3"/>
        <v>0.000495</v>
      </c>
      <c r="O23" s="14">
        <f>1.8</f>
        <v>1.8</v>
      </c>
      <c r="P23" s="14">
        <f t="shared" si="4"/>
        <v>1.8</v>
      </c>
      <c r="Q23" s="15"/>
      <c r="R23" s="15">
        <f t="shared" si="5"/>
        <v>0</v>
      </c>
      <c r="S23" s="4"/>
      <c r="T23" s="4"/>
      <c r="U23" s="5" t="s">
        <v>44</v>
      </c>
      <c r="V23" s="4"/>
      <c r="W23" s="4"/>
    </row>
    <row r="24" ht="15.75" customHeight="1">
      <c r="A24" s="5" t="s">
        <v>217</v>
      </c>
      <c r="B24" s="5" t="s">
        <v>146</v>
      </c>
      <c r="C24" s="5" t="s">
        <v>25</v>
      </c>
      <c r="D24" s="5" t="s">
        <v>162</v>
      </c>
      <c r="E24" s="5" t="s">
        <v>218</v>
      </c>
      <c r="F24" s="5" t="s">
        <v>219</v>
      </c>
      <c r="G24" s="5" t="s">
        <v>220</v>
      </c>
      <c r="H24" s="6">
        <f t="shared" si="12"/>
        <v>1</v>
      </c>
      <c r="I24" s="38"/>
      <c r="J24" s="12"/>
      <c r="K24" s="42"/>
      <c r="L24" s="10"/>
      <c r="M24" s="11" t="str">
        <f t="shared" si="2"/>
        <v/>
      </c>
      <c r="N24" s="12" t="str">
        <f t="shared" si="3"/>
        <v/>
      </c>
      <c r="O24" s="14">
        <f>3</f>
        <v>3</v>
      </c>
      <c r="P24" s="14">
        <f t="shared" si="4"/>
        <v>3</v>
      </c>
      <c r="Q24" s="15"/>
      <c r="R24" s="15">
        <f t="shared" si="5"/>
        <v>0</v>
      </c>
      <c r="S24" s="4"/>
      <c r="T24" s="4"/>
      <c r="U24" s="5" t="s">
        <v>44</v>
      </c>
      <c r="V24" s="25" t="s">
        <v>221</v>
      </c>
      <c r="W24" s="4"/>
    </row>
    <row r="25" ht="15.75" customHeight="1">
      <c r="A25" s="5" t="s">
        <v>222</v>
      </c>
      <c r="B25" s="5" t="s">
        <v>24</v>
      </c>
      <c r="C25" s="5" t="s">
        <v>25</v>
      </c>
      <c r="D25" s="5" t="s">
        <v>162</v>
      </c>
      <c r="E25" s="5" t="s">
        <v>223</v>
      </c>
      <c r="F25" s="5" t="s">
        <v>224</v>
      </c>
      <c r="G25" s="5" t="s">
        <v>225</v>
      </c>
      <c r="H25" s="6">
        <f t="shared" si="12"/>
        <v>1</v>
      </c>
      <c r="I25" s="38">
        <f>5</f>
        <v>5</v>
      </c>
      <c r="J25" s="12">
        <f>580</f>
        <v>580</v>
      </c>
      <c r="K25" s="42">
        <f>280</f>
        <v>280</v>
      </c>
      <c r="L25" s="10">
        <f t="shared" ref="L25:L26" si="14">1</f>
        <v>1</v>
      </c>
      <c r="M25" s="11">
        <f t="shared" si="2"/>
        <v>580</v>
      </c>
      <c r="N25" s="12">
        <f t="shared" si="3"/>
        <v>2.9</v>
      </c>
      <c r="O25" s="14">
        <f>12</f>
        <v>12</v>
      </c>
      <c r="P25" s="14">
        <f t="shared" si="4"/>
        <v>12</v>
      </c>
      <c r="Q25" s="15"/>
      <c r="R25" s="15">
        <f t="shared" si="5"/>
        <v>0</v>
      </c>
      <c r="S25" s="4"/>
      <c r="T25" s="4"/>
      <c r="U25" s="5" t="s">
        <v>44</v>
      </c>
      <c r="V25" s="4"/>
      <c r="W25" s="4"/>
    </row>
    <row r="26" ht="15.75" customHeight="1">
      <c r="A26" s="5" t="s">
        <v>226</v>
      </c>
      <c r="B26" s="5" t="s">
        <v>24</v>
      </c>
      <c r="C26" s="5" t="s">
        <v>25</v>
      </c>
      <c r="D26" s="5" t="s">
        <v>26</v>
      </c>
      <c r="E26" s="5" t="s">
        <v>227</v>
      </c>
      <c r="F26" s="5" t="s">
        <v>228</v>
      </c>
      <c r="G26" s="5" t="s">
        <v>229</v>
      </c>
      <c r="H26" s="6">
        <f t="shared" si="12"/>
        <v>1</v>
      </c>
      <c r="I26" s="38">
        <f>3</f>
        <v>3</v>
      </c>
      <c r="J26" s="12">
        <f t="shared" ref="J26:K26" si="13">0.000045</f>
        <v>0.000045</v>
      </c>
      <c r="K26" s="42">
        <f t="shared" si="13"/>
        <v>0.000045</v>
      </c>
      <c r="L26" s="10">
        <f t="shared" si="14"/>
        <v>1</v>
      </c>
      <c r="M26" s="11">
        <f t="shared" si="2"/>
        <v>0.000045</v>
      </c>
      <c r="N26" s="12">
        <f t="shared" si="3"/>
        <v>0.000000135</v>
      </c>
      <c r="O26" s="14">
        <f>0.0114</f>
        <v>0.0114</v>
      </c>
      <c r="P26" s="14">
        <f t="shared" si="4"/>
        <v>0.0114</v>
      </c>
      <c r="Q26" s="15"/>
      <c r="R26" s="15">
        <f t="shared" si="5"/>
        <v>0</v>
      </c>
      <c r="S26" s="4"/>
      <c r="T26" s="4"/>
      <c r="U26" s="5" t="s">
        <v>44</v>
      </c>
      <c r="V26" s="4"/>
      <c r="W26" s="4"/>
    </row>
    <row r="27" ht="15.75" customHeight="1">
      <c r="A27" s="4"/>
      <c r="B27" s="4"/>
      <c r="C27" s="4"/>
      <c r="D27" s="4"/>
      <c r="E27" s="4"/>
      <c r="F27" s="4"/>
      <c r="G27" s="4"/>
      <c r="H27" s="6"/>
      <c r="I27" s="38"/>
      <c r="J27" s="12"/>
      <c r="K27" s="42"/>
      <c r="L27" s="10"/>
      <c r="M27" s="11" t="str">
        <f t="shared" si="2"/>
        <v/>
      </c>
      <c r="N27" s="12" t="str">
        <f t="shared" si="3"/>
        <v/>
      </c>
      <c r="O27" s="14"/>
      <c r="P27" s="14" t="str">
        <f t="shared" si="4"/>
        <v/>
      </c>
      <c r="Q27" s="15"/>
      <c r="R27" s="15" t="str">
        <f t="shared" si="5"/>
        <v/>
      </c>
      <c r="S27" s="4"/>
      <c r="T27" s="4"/>
      <c r="U27" s="4"/>
      <c r="V27" s="4"/>
      <c r="W27" s="4"/>
    </row>
    <row r="28" ht="15.75" customHeight="1">
      <c r="A28" s="4"/>
      <c r="B28" s="4"/>
      <c r="C28" s="4"/>
      <c r="D28" s="4"/>
      <c r="E28" s="4"/>
      <c r="F28" s="4"/>
      <c r="G28" s="4"/>
      <c r="H28" s="6"/>
      <c r="I28" s="38"/>
      <c r="J28" s="12"/>
      <c r="K28" s="42"/>
      <c r="L28" s="10"/>
      <c r="M28" s="11" t="str">
        <f t="shared" si="2"/>
        <v/>
      </c>
      <c r="N28" s="12" t="str">
        <f t="shared" si="3"/>
        <v/>
      </c>
      <c r="O28" s="14"/>
      <c r="P28" s="14" t="str">
        <f t="shared" si="4"/>
        <v/>
      </c>
      <c r="Q28" s="15"/>
      <c r="R28" s="15" t="str">
        <f t="shared" si="5"/>
        <v/>
      </c>
      <c r="S28" s="4"/>
      <c r="T28" s="4"/>
      <c r="U28" s="4"/>
      <c r="V28" s="4"/>
      <c r="W28" s="4"/>
    </row>
    <row r="29" ht="15.75" customHeight="1">
      <c r="A29" s="4"/>
      <c r="B29" s="4"/>
      <c r="C29" s="4"/>
      <c r="D29" s="4"/>
      <c r="E29" s="4"/>
      <c r="F29" s="4"/>
      <c r="G29" s="4"/>
      <c r="H29" s="6"/>
      <c r="I29" s="38"/>
      <c r="J29" s="12"/>
      <c r="K29" s="42"/>
      <c r="L29" s="10"/>
      <c r="M29" s="11" t="str">
        <f t="shared" si="2"/>
        <v/>
      </c>
      <c r="N29" s="12" t="str">
        <f t="shared" si="3"/>
        <v/>
      </c>
      <c r="O29" s="14"/>
      <c r="P29" s="14" t="str">
        <f t="shared" si="4"/>
        <v/>
      </c>
      <c r="Q29" s="15"/>
      <c r="R29" s="15" t="str">
        <f t="shared" si="5"/>
        <v/>
      </c>
      <c r="S29" s="4"/>
      <c r="T29" s="4"/>
      <c r="U29" s="4"/>
      <c r="V29" s="4"/>
      <c r="W29" s="4"/>
    </row>
    <row r="30" ht="15.75" customHeight="1">
      <c r="A30" s="4"/>
      <c r="B30" s="4"/>
      <c r="C30" s="4"/>
      <c r="D30" s="4"/>
      <c r="E30" s="4"/>
      <c r="F30" s="4"/>
      <c r="G30" s="4"/>
      <c r="H30" s="6"/>
      <c r="I30" s="38"/>
      <c r="J30" s="12"/>
      <c r="K30" s="42"/>
      <c r="L30" s="10"/>
      <c r="M30" s="11" t="str">
        <f t="shared" si="2"/>
        <v/>
      </c>
      <c r="N30" s="12" t="str">
        <f t="shared" si="3"/>
        <v/>
      </c>
      <c r="O30" s="14"/>
      <c r="P30" s="14" t="str">
        <f t="shared" si="4"/>
        <v/>
      </c>
      <c r="Q30" s="15"/>
      <c r="R30" s="15" t="str">
        <f t="shared" si="5"/>
        <v/>
      </c>
      <c r="S30" s="4"/>
      <c r="T30" s="4"/>
      <c r="U30" s="4"/>
      <c r="V30" s="4"/>
      <c r="W30" s="4"/>
    </row>
    <row r="31" ht="15.75" customHeight="1">
      <c r="A31" s="4"/>
      <c r="B31" s="4"/>
      <c r="C31" s="4"/>
      <c r="D31" s="4"/>
      <c r="E31" s="4"/>
      <c r="F31" s="4"/>
      <c r="G31" s="4"/>
      <c r="H31" s="6"/>
      <c r="I31" s="38"/>
      <c r="J31" s="12"/>
      <c r="K31" s="42"/>
      <c r="L31" s="10"/>
      <c r="M31" s="11" t="str">
        <f t="shared" si="2"/>
        <v/>
      </c>
      <c r="N31" s="12" t="str">
        <f t="shared" si="3"/>
        <v/>
      </c>
      <c r="O31" s="14"/>
      <c r="P31" s="14" t="str">
        <f t="shared" si="4"/>
        <v/>
      </c>
      <c r="Q31" s="15"/>
      <c r="R31" s="15" t="str">
        <f t="shared" si="5"/>
        <v/>
      </c>
      <c r="S31" s="4"/>
      <c r="T31" s="4"/>
      <c r="U31" s="4"/>
      <c r="V31" s="4"/>
      <c r="W31" s="4"/>
    </row>
    <row r="32" ht="15.75" customHeight="1">
      <c r="A32" s="4"/>
      <c r="B32" s="4"/>
      <c r="C32" s="4"/>
      <c r="D32" s="4"/>
      <c r="E32" s="4"/>
      <c r="F32" s="4"/>
      <c r="G32" s="4"/>
      <c r="H32" s="6"/>
      <c r="I32" s="38"/>
      <c r="J32" s="12"/>
      <c r="K32" s="42"/>
      <c r="L32" s="10"/>
      <c r="M32" s="11" t="str">
        <f t="shared" si="2"/>
        <v/>
      </c>
      <c r="N32" s="12" t="str">
        <f t="shared" si="3"/>
        <v/>
      </c>
      <c r="O32" s="14"/>
      <c r="P32" s="14" t="str">
        <f t="shared" si="4"/>
        <v/>
      </c>
      <c r="Q32" s="15"/>
      <c r="R32" s="15" t="str">
        <f t="shared" si="5"/>
        <v/>
      </c>
      <c r="S32" s="4"/>
      <c r="T32" s="4"/>
      <c r="U32" s="4"/>
      <c r="V32" s="4"/>
      <c r="W32" s="4"/>
    </row>
    <row r="33" ht="15.75" customHeight="1">
      <c r="A33" s="4"/>
      <c r="B33" s="4"/>
      <c r="C33" s="4"/>
      <c r="D33" s="4"/>
      <c r="E33" s="4"/>
      <c r="F33" s="4"/>
      <c r="G33" s="4"/>
      <c r="H33" s="6"/>
      <c r="I33" s="38"/>
      <c r="J33" s="12"/>
      <c r="K33" s="42"/>
      <c r="L33" s="10"/>
      <c r="M33" s="11" t="str">
        <f t="shared" si="2"/>
        <v/>
      </c>
      <c r="N33" s="12" t="str">
        <f t="shared" si="3"/>
        <v/>
      </c>
      <c r="O33" s="14"/>
      <c r="P33" s="14" t="str">
        <f t="shared" si="4"/>
        <v/>
      </c>
      <c r="Q33" s="15"/>
      <c r="R33" s="15" t="str">
        <f t="shared" si="5"/>
        <v/>
      </c>
      <c r="S33" s="4"/>
      <c r="T33" s="4"/>
      <c r="U33" s="4"/>
      <c r="V33" s="4"/>
      <c r="W33" s="4"/>
    </row>
    <row r="34" ht="15.75" customHeight="1">
      <c r="A34" s="4"/>
      <c r="B34" s="4"/>
      <c r="C34" s="4"/>
      <c r="D34" s="4"/>
      <c r="E34" s="4"/>
      <c r="F34" s="4"/>
      <c r="G34" s="4"/>
      <c r="H34" s="6"/>
      <c r="I34" s="38"/>
      <c r="J34" s="12"/>
      <c r="K34" s="42"/>
      <c r="L34" s="10"/>
      <c r="M34" s="11" t="str">
        <f t="shared" si="2"/>
        <v/>
      </c>
      <c r="N34" s="12" t="str">
        <f t="shared" si="3"/>
        <v/>
      </c>
      <c r="O34" s="14"/>
      <c r="P34" s="14" t="str">
        <f t="shared" si="4"/>
        <v/>
      </c>
      <c r="Q34" s="15"/>
      <c r="R34" s="15" t="str">
        <f t="shared" si="5"/>
        <v/>
      </c>
      <c r="S34" s="4"/>
      <c r="T34" s="4"/>
      <c r="U34" s="4"/>
      <c r="V34" s="4"/>
      <c r="W34" s="4"/>
    </row>
    <row r="35" ht="15.75" customHeight="1">
      <c r="A35" s="4"/>
      <c r="B35" s="4"/>
      <c r="C35" s="4"/>
      <c r="D35" s="4"/>
      <c r="E35" s="4"/>
      <c r="F35" s="4"/>
      <c r="G35" s="4"/>
      <c r="H35" s="6"/>
      <c r="I35" s="38"/>
      <c r="J35" s="12"/>
      <c r="K35" s="42"/>
      <c r="L35" s="10"/>
      <c r="M35" s="11" t="str">
        <f t="shared" si="2"/>
        <v/>
      </c>
      <c r="N35" s="12" t="str">
        <f t="shared" si="3"/>
        <v/>
      </c>
      <c r="O35" s="14"/>
      <c r="P35" s="14" t="str">
        <f t="shared" si="4"/>
        <v/>
      </c>
      <c r="Q35" s="15"/>
      <c r="R35" s="15" t="str">
        <f t="shared" si="5"/>
        <v/>
      </c>
      <c r="S35" s="4"/>
      <c r="T35" s="4"/>
      <c r="U35" s="4"/>
      <c r="V35" s="4"/>
      <c r="W35" s="4"/>
    </row>
    <row r="36" ht="15.75" customHeight="1">
      <c r="A36" s="4"/>
      <c r="B36" s="4"/>
      <c r="C36" s="4"/>
      <c r="D36" s="4"/>
      <c r="E36" s="4"/>
      <c r="F36" s="4"/>
      <c r="G36" s="4"/>
      <c r="H36" s="6"/>
      <c r="I36" s="38"/>
      <c r="J36" s="12"/>
      <c r="K36" s="42"/>
      <c r="L36" s="10"/>
      <c r="M36" s="11" t="str">
        <f t="shared" si="2"/>
        <v/>
      </c>
      <c r="N36" s="12" t="str">
        <f t="shared" si="3"/>
        <v/>
      </c>
      <c r="O36" s="14"/>
      <c r="P36" s="14" t="str">
        <f t="shared" si="4"/>
        <v/>
      </c>
      <c r="Q36" s="15"/>
      <c r="R36" s="15" t="str">
        <f t="shared" si="5"/>
        <v/>
      </c>
      <c r="S36" s="4"/>
      <c r="T36" s="4"/>
      <c r="U36" s="4"/>
      <c r="V36" s="4"/>
      <c r="W36" s="4"/>
    </row>
    <row r="37" ht="15.75" customHeight="1">
      <c r="A37" s="4"/>
      <c r="B37" s="4"/>
      <c r="C37" s="4"/>
      <c r="D37" s="4"/>
      <c r="E37" s="4"/>
      <c r="F37" s="4"/>
      <c r="G37" s="4"/>
      <c r="H37" s="6"/>
      <c r="I37" s="38"/>
      <c r="J37" s="12"/>
      <c r="K37" s="42"/>
      <c r="L37" s="10"/>
      <c r="M37" s="11" t="str">
        <f t="shared" si="2"/>
        <v/>
      </c>
      <c r="N37" s="12" t="str">
        <f t="shared" si="3"/>
        <v/>
      </c>
      <c r="O37" s="14"/>
      <c r="P37" s="14" t="str">
        <f t="shared" si="4"/>
        <v/>
      </c>
      <c r="Q37" s="15"/>
      <c r="R37" s="15" t="str">
        <f t="shared" si="5"/>
        <v/>
      </c>
      <c r="S37" s="4"/>
      <c r="T37" s="4"/>
      <c r="U37" s="4"/>
      <c r="V37" s="4"/>
      <c r="W37" s="4"/>
    </row>
    <row r="38" ht="15.75" customHeight="1">
      <c r="A38" s="4"/>
      <c r="B38" s="4"/>
      <c r="C38" s="4"/>
      <c r="D38" s="4"/>
      <c r="E38" s="4"/>
      <c r="F38" s="4"/>
      <c r="G38" s="4"/>
      <c r="H38" s="6"/>
      <c r="I38" s="38"/>
      <c r="J38" s="12"/>
      <c r="K38" s="42"/>
      <c r="L38" s="10"/>
      <c r="M38" s="11" t="str">
        <f t="shared" si="2"/>
        <v/>
      </c>
      <c r="N38" s="12" t="str">
        <f t="shared" si="3"/>
        <v/>
      </c>
      <c r="O38" s="14"/>
      <c r="P38" s="14" t="str">
        <f t="shared" si="4"/>
        <v/>
      </c>
      <c r="Q38" s="15"/>
      <c r="R38" s="15" t="str">
        <f t="shared" si="5"/>
        <v/>
      </c>
      <c r="S38" s="4"/>
      <c r="T38" s="4"/>
      <c r="U38" s="4"/>
      <c r="V38" s="4"/>
      <c r="W38" s="4"/>
    </row>
    <row r="39" ht="15.75" customHeight="1">
      <c r="A39" s="4"/>
      <c r="B39" s="4"/>
      <c r="C39" s="4"/>
      <c r="D39" s="4"/>
      <c r="E39" s="4"/>
      <c r="F39" s="4"/>
      <c r="G39" s="4"/>
      <c r="H39" s="6"/>
      <c r="I39" s="38"/>
      <c r="J39" s="12"/>
      <c r="K39" s="42"/>
      <c r="L39" s="10"/>
      <c r="M39" s="11" t="str">
        <f t="shared" si="2"/>
        <v/>
      </c>
      <c r="N39" s="12" t="str">
        <f t="shared" si="3"/>
        <v/>
      </c>
      <c r="O39" s="14"/>
      <c r="P39" s="14" t="str">
        <f t="shared" si="4"/>
        <v/>
      </c>
      <c r="Q39" s="15"/>
      <c r="R39" s="15" t="str">
        <f t="shared" si="5"/>
        <v/>
      </c>
      <c r="S39" s="4"/>
      <c r="T39" s="4"/>
      <c r="U39" s="4"/>
      <c r="V39" s="4"/>
      <c r="W39" s="4"/>
    </row>
    <row r="40" ht="15.75" customHeight="1">
      <c r="A40" s="4"/>
      <c r="B40" s="4"/>
      <c r="C40" s="4"/>
      <c r="D40" s="4"/>
      <c r="E40" s="4"/>
      <c r="F40" s="4"/>
      <c r="G40" s="4"/>
      <c r="H40" s="6"/>
      <c r="I40" s="38"/>
      <c r="J40" s="12"/>
      <c r="K40" s="42"/>
      <c r="L40" s="10"/>
      <c r="M40" s="11" t="str">
        <f t="shared" si="2"/>
        <v/>
      </c>
      <c r="N40" s="12" t="str">
        <f t="shared" si="3"/>
        <v/>
      </c>
      <c r="O40" s="14"/>
      <c r="P40" s="14" t="str">
        <f t="shared" si="4"/>
        <v/>
      </c>
      <c r="Q40" s="15"/>
      <c r="R40" s="15" t="str">
        <f t="shared" si="5"/>
        <v/>
      </c>
      <c r="S40" s="4"/>
      <c r="T40" s="4"/>
      <c r="U40" s="4"/>
      <c r="V40" s="4"/>
      <c r="W40" s="4"/>
    </row>
    <row r="41" ht="15.75" customHeight="1">
      <c r="A41" s="4"/>
      <c r="B41" s="4"/>
      <c r="C41" s="4"/>
      <c r="D41" s="4"/>
      <c r="E41" s="4"/>
      <c r="F41" s="4"/>
      <c r="G41" s="4"/>
      <c r="H41" s="6"/>
      <c r="I41" s="38"/>
      <c r="J41" s="12"/>
      <c r="K41" s="42"/>
      <c r="L41" s="10"/>
      <c r="M41" s="11" t="str">
        <f t="shared" si="2"/>
        <v/>
      </c>
      <c r="N41" s="12" t="str">
        <f t="shared" si="3"/>
        <v/>
      </c>
      <c r="O41" s="14"/>
      <c r="P41" s="14" t="str">
        <f t="shared" si="4"/>
        <v/>
      </c>
      <c r="Q41" s="15"/>
      <c r="R41" s="15" t="str">
        <f t="shared" si="5"/>
        <v/>
      </c>
      <c r="S41" s="4"/>
      <c r="T41" s="4"/>
      <c r="U41" s="4"/>
      <c r="V41" s="4"/>
      <c r="W41" s="4"/>
    </row>
    <row r="42" ht="15.75" customHeight="1">
      <c r="A42" s="4"/>
      <c r="B42" s="4"/>
      <c r="C42" s="4"/>
      <c r="D42" s="4"/>
      <c r="E42" s="4"/>
      <c r="F42" s="4"/>
      <c r="G42" s="4"/>
      <c r="H42" s="6"/>
      <c r="I42" s="38"/>
      <c r="J42" s="12"/>
      <c r="K42" s="42"/>
      <c r="L42" s="10"/>
      <c r="M42" s="11" t="str">
        <f t="shared" si="2"/>
        <v/>
      </c>
      <c r="N42" s="12" t="str">
        <f t="shared" si="3"/>
        <v/>
      </c>
      <c r="O42" s="14"/>
      <c r="P42" s="14" t="str">
        <f t="shared" si="4"/>
        <v/>
      </c>
      <c r="Q42" s="15"/>
      <c r="R42" s="15" t="str">
        <f t="shared" si="5"/>
        <v/>
      </c>
      <c r="S42" s="4"/>
      <c r="T42" s="4"/>
      <c r="U42" s="4"/>
      <c r="V42" s="4"/>
      <c r="W42" s="4"/>
    </row>
    <row r="43" ht="15.75" customHeight="1">
      <c r="A43" s="4"/>
      <c r="B43" s="4"/>
      <c r="C43" s="4"/>
      <c r="D43" s="4"/>
      <c r="E43" s="4"/>
      <c r="F43" s="4"/>
      <c r="G43" s="4"/>
      <c r="H43" s="6"/>
      <c r="I43" s="38"/>
      <c r="J43" s="12"/>
      <c r="K43" s="42"/>
      <c r="L43" s="10"/>
      <c r="M43" s="11" t="str">
        <f t="shared" si="2"/>
        <v/>
      </c>
      <c r="N43" s="12" t="str">
        <f t="shared" si="3"/>
        <v/>
      </c>
      <c r="O43" s="14"/>
      <c r="P43" s="14" t="str">
        <f t="shared" si="4"/>
        <v/>
      </c>
      <c r="Q43" s="15"/>
      <c r="R43" s="15" t="str">
        <f t="shared" si="5"/>
        <v/>
      </c>
      <c r="S43" s="4"/>
      <c r="T43" s="4"/>
      <c r="U43" s="4"/>
      <c r="V43" s="4"/>
      <c r="W43" s="4"/>
    </row>
    <row r="44" ht="15.75" customHeight="1">
      <c r="A44" s="4"/>
      <c r="B44" s="4"/>
      <c r="C44" s="4"/>
      <c r="D44" s="4"/>
      <c r="E44" s="4"/>
      <c r="F44" s="4"/>
      <c r="G44" s="4"/>
      <c r="H44" s="6"/>
      <c r="I44" s="38"/>
      <c r="J44" s="12"/>
      <c r="K44" s="42"/>
      <c r="L44" s="10"/>
      <c r="M44" s="11" t="str">
        <f t="shared" si="2"/>
        <v/>
      </c>
      <c r="N44" s="12" t="str">
        <f t="shared" si="3"/>
        <v/>
      </c>
      <c r="O44" s="14"/>
      <c r="P44" s="14" t="str">
        <f t="shared" si="4"/>
        <v/>
      </c>
      <c r="Q44" s="15"/>
      <c r="R44" s="15" t="str">
        <f t="shared" si="5"/>
        <v/>
      </c>
      <c r="S44" s="4"/>
      <c r="T44" s="4"/>
      <c r="U44" s="4"/>
      <c r="V44" s="4"/>
      <c r="W44" s="4"/>
    </row>
    <row r="45" ht="15.75" customHeight="1">
      <c r="A45" s="4"/>
      <c r="B45" s="4"/>
      <c r="C45" s="4"/>
      <c r="D45" s="4"/>
      <c r="E45" s="4"/>
      <c r="F45" s="4"/>
      <c r="G45" s="4"/>
      <c r="H45" s="6"/>
      <c r="I45" s="38"/>
      <c r="J45" s="12"/>
      <c r="K45" s="42"/>
      <c r="L45" s="10"/>
      <c r="M45" s="11" t="str">
        <f t="shared" si="2"/>
        <v/>
      </c>
      <c r="N45" s="12" t="str">
        <f t="shared" si="3"/>
        <v/>
      </c>
      <c r="O45" s="14"/>
      <c r="P45" s="14" t="str">
        <f t="shared" si="4"/>
        <v/>
      </c>
      <c r="Q45" s="15"/>
      <c r="R45" s="15" t="str">
        <f t="shared" si="5"/>
        <v/>
      </c>
      <c r="S45" s="4"/>
      <c r="T45" s="4"/>
      <c r="U45" s="4"/>
      <c r="V45" s="4"/>
      <c r="W45" s="4"/>
    </row>
    <row r="46" ht="15.75" customHeight="1">
      <c r="A46" s="4"/>
      <c r="B46" s="4"/>
      <c r="C46" s="4"/>
      <c r="D46" s="4"/>
      <c r="E46" s="4"/>
      <c r="F46" s="4"/>
      <c r="G46" s="4"/>
      <c r="H46" s="6"/>
      <c r="I46" s="38"/>
      <c r="J46" s="12"/>
      <c r="K46" s="42"/>
      <c r="L46" s="10"/>
      <c r="M46" s="11" t="str">
        <f t="shared" si="2"/>
        <v/>
      </c>
      <c r="N46" s="12" t="str">
        <f t="shared" si="3"/>
        <v/>
      </c>
      <c r="O46" s="14"/>
      <c r="P46" s="14" t="str">
        <f t="shared" si="4"/>
        <v/>
      </c>
      <c r="Q46" s="15"/>
      <c r="R46" s="15" t="str">
        <f t="shared" si="5"/>
        <v/>
      </c>
      <c r="S46" s="4"/>
      <c r="T46" s="4"/>
      <c r="U46" s="4"/>
      <c r="V46" s="4"/>
      <c r="W46" s="4"/>
    </row>
    <row r="47" ht="15.75" customHeight="1">
      <c r="A47" s="4"/>
      <c r="B47" s="4"/>
      <c r="C47" s="4"/>
      <c r="D47" s="4"/>
      <c r="E47" s="4"/>
      <c r="F47" s="4"/>
      <c r="G47" s="4"/>
      <c r="H47" s="6"/>
      <c r="I47" s="38"/>
      <c r="J47" s="12"/>
      <c r="K47" s="42"/>
      <c r="L47" s="10"/>
      <c r="M47" s="11" t="str">
        <f t="shared" si="2"/>
        <v/>
      </c>
      <c r="N47" s="12" t="str">
        <f t="shared" si="3"/>
        <v/>
      </c>
      <c r="O47" s="14"/>
      <c r="P47" s="14" t="str">
        <f t="shared" si="4"/>
        <v/>
      </c>
      <c r="Q47" s="15"/>
      <c r="R47" s="15" t="str">
        <f t="shared" si="5"/>
        <v/>
      </c>
      <c r="S47" s="4"/>
      <c r="T47" s="4"/>
      <c r="U47" s="4"/>
      <c r="V47" s="4"/>
      <c r="W47" s="4"/>
    </row>
    <row r="48" ht="15.75" customHeight="1">
      <c r="A48" s="4"/>
      <c r="B48" s="4"/>
      <c r="C48" s="4"/>
      <c r="D48" s="4"/>
      <c r="E48" s="4"/>
      <c r="F48" s="4"/>
      <c r="G48" s="4"/>
      <c r="H48" s="6"/>
      <c r="I48" s="38"/>
      <c r="J48" s="12"/>
      <c r="K48" s="42"/>
      <c r="L48" s="10"/>
      <c r="M48" s="11" t="str">
        <f t="shared" si="2"/>
        <v/>
      </c>
      <c r="N48" s="12" t="str">
        <f t="shared" si="3"/>
        <v/>
      </c>
      <c r="O48" s="14"/>
      <c r="P48" s="14" t="str">
        <f t="shared" si="4"/>
        <v/>
      </c>
      <c r="Q48" s="15"/>
      <c r="R48" s="15" t="str">
        <f t="shared" si="5"/>
        <v/>
      </c>
      <c r="S48" s="4"/>
      <c r="T48" s="4"/>
      <c r="U48" s="4"/>
      <c r="V48" s="4"/>
      <c r="W48" s="4"/>
    </row>
    <row r="49" ht="15.75" customHeight="1">
      <c r="A49" s="4"/>
      <c r="B49" s="4"/>
      <c r="C49" s="4"/>
      <c r="D49" s="4"/>
      <c r="E49" s="4"/>
      <c r="F49" s="4"/>
      <c r="G49" s="4"/>
      <c r="H49" s="6"/>
      <c r="I49" s="38"/>
      <c r="J49" s="12"/>
      <c r="K49" s="42"/>
      <c r="L49" s="10"/>
      <c r="M49" s="11" t="str">
        <f t="shared" si="2"/>
        <v/>
      </c>
      <c r="N49" s="12" t="str">
        <f t="shared" si="3"/>
        <v/>
      </c>
      <c r="O49" s="14"/>
      <c r="P49" s="14" t="str">
        <f t="shared" si="4"/>
        <v/>
      </c>
      <c r="Q49" s="15"/>
      <c r="R49" s="15" t="str">
        <f t="shared" si="5"/>
        <v/>
      </c>
      <c r="S49" s="4"/>
      <c r="T49" s="4"/>
      <c r="U49" s="4"/>
      <c r="V49" s="4"/>
      <c r="W49" s="4"/>
    </row>
    <row r="50" ht="15.75" customHeight="1">
      <c r="A50" s="4"/>
      <c r="B50" s="4"/>
      <c r="C50" s="4"/>
      <c r="D50" s="4"/>
      <c r="E50" s="4"/>
      <c r="F50" s="4"/>
      <c r="G50" s="4"/>
      <c r="H50" s="6"/>
      <c r="I50" s="38"/>
      <c r="J50" s="12"/>
      <c r="K50" s="42"/>
      <c r="L50" s="10"/>
      <c r="M50" s="11" t="str">
        <f t="shared" si="2"/>
        <v/>
      </c>
      <c r="N50" s="12" t="str">
        <f t="shared" si="3"/>
        <v/>
      </c>
      <c r="O50" s="14"/>
      <c r="P50" s="14" t="str">
        <f t="shared" si="4"/>
        <v/>
      </c>
      <c r="Q50" s="15"/>
      <c r="R50" s="15" t="str">
        <f t="shared" si="5"/>
        <v/>
      </c>
      <c r="S50" s="4"/>
      <c r="T50" s="4"/>
      <c r="U50" s="4"/>
      <c r="V50" s="4"/>
      <c r="W50" s="4"/>
    </row>
    <row r="51" ht="15.75" customHeight="1">
      <c r="A51" s="4"/>
      <c r="B51" s="4"/>
      <c r="C51" s="4"/>
      <c r="D51" s="4"/>
      <c r="E51" s="4"/>
      <c r="F51" s="4"/>
      <c r="G51" s="4"/>
      <c r="H51" s="6"/>
      <c r="I51" s="38"/>
      <c r="J51" s="12"/>
      <c r="K51" s="42"/>
      <c r="L51" s="10"/>
      <c r="M51" s="11" t="str">
        <f t="shared" si="2"/>
        <v/>
      </c>
      <c r="N51" s="12" t="str">
        <f t="shared" si="3"/>
        <v/>
      </c>
      <c r="O51" s="14"/>
      <c r="P51" s="14" t="str">
        <f t="shared" si="4"/>
        <v/>
      </c>
      <c r="Q51" s="15"/>
      <c r="R51" s="15" t="str">
        <f t="shared" si="5"/>
        <v/>
      </c>
      <c r="S51" s="4"/>
      <c r="T51" s="4"/>
      <c r="U51" s="4"/>
      <c r="V51" s="4"/>
      <c r="W51" s="4"/>
    </row>
    <row r="52" ht="15.75" customHeight="1">
      <c r="A52" s="4"/>
      <c r="B52" s="4"/>
      <c r="C52" s="4"/>
      <c r="D52" s="4"/>
      <c r="E52" s="4"/>
      <c r="F52" s="4"/>
      <c r="G52" s="4"/>
      <c r="H52" s="6"/>
      <c r="I52" s="38"/>
      <c r="J52" s="12"/>
      <c r="K52" s="42"/>
      <c r="L52" s="10"/>
      <c r="M52" s="11" t="str">
        <f t="shared" si="2"/>
        <v/>
      </c>
      <c r="N52" s="12" t="str">
        <f t="shared" si="3"/>
        <v/>
      </c>
      <c r="O52" s="14"/>
      <c r="P52" s="14" t="str">
        <f t="shared" si="4"/>
        <v/>
      </c>
      <c r="Q52" s="15"/>
      <c r="R52" s="15" t="str">
        <f t="shared" si="5"/>
        <v/>
      </c>
      <c r="S52" s="4"/>
      <c r="T52" s="4"/>
      <c r="U52" s="4"/>
      <c r="V52" s="4"/>
      <c r="W52" s="4"/>
    </row>
    <row r="53" ht="15.75" customHeight="1">
      <c r="A53" s="4"/>
      <c r="B53" s="4"/>
      <c r="C53" s="4"/>
      <c r="D53" s="4"/>
      <c r="E53" s="4"/>
      <c r="F53" s="4"/>
      <c r="G53" s="4"/>
      <c r="H53" s="6"/>
      <c r="I53" s="38"/>
      <c r="J53" s="12"/>
      <c r="K53" s="42"/>
      <c r="L53" s="10"/>
      <c r="M53" s="11" t="str">
        <f t="shared" si="2"/>
        <v/>
      </c>
      <c r="N53" s="12" t="str">
        <f t="shared" si="3"/>
        <v/>
      </c>
      <c r="O53" s="14"/>
      <c r="P53" s="14" t="str">
        <f t="shared" si="4"/>
        <v/>
      </c>
      <c r="Q53" s="15"/>
      <c r="R53" s="15" t="str">
        <f t="shared" si="5"/>
        <v/>
      </c>
      <c r="S53" s="4"/>
      <c r="T53" s="4"/>
      <c r="U53" s="4"/>
      <c r="V53" s="4"/>
      <c r="W53" s="4"/>
    </row>
    <row r="54" ht="15.75" customHeight="1">
      <c r="A54" s="4"/>
      <c r="B54" s="4"/>
      <c r="C54" s="4"/>
      <c r="D54" s="4"/>
      <c r="E54" s="4"/>
      <c r="F54" s="4"/>
      <c r="G54" s="4"/>
      <c r="H54" s="6"/>
      <c r="I54" s="38"/>
      <c r="J54" s="12"/>
      <c r="K54" s="42"/>
      <c r="L54" s="10"/>
      <c r="M54" s="11" t="str">
        <f t="shared" si="2"/>
        <v/>
      </c>
      <c r="N54" s="12" t="str">
        <f t="shared" si="3"/>
        <v/>
      </c>
      <c r="O54" s="14"/>
      <c r="P54" s="14" t="str">
        <f t="shared" si="4"/>
        <v/>
      </c>
      <c r="Q54" s="15"/>
      <c r="R54" s="15" t="str">
        <f t="shared" si="5"/>
        <v/>
      </c>
      <c r="S54" s="4"/>
      <c r="T54" s="4"/>
      <c r="U54" s="4"/>
      <c r="V54" s="4"/>
      <c r="W54" s="4"/>
    </row>
    <row r="55" ht="15.75" customHeight="1">
      <c r="A55" s="4"/>
      <c r="B55" s="4"/>
      <c r="C55" s="4"/>
      <c r="D55" s="4"/>
      <c r="E55" s="4"/>
      <c r="F55" s="4"/>
      <c r="G55" s="4"/>
      <c r="H55" s="6"/>
      <c r="I55" s="38"/>
      <c r="J55" s="12"/>
      <c r="K55" s="42"/>
      <c r="L55" s="10"/>
      <c r="M55" s="11" t="str">
        <f t="shared" si="2"/>
        <v/>
      </c>
      <c r="N55" s="12" t="str">
        <f t="shared" si="3"/>
        <v/>
      </c>
      <c r="O55" s="14"/>
      <c r="P55" s="14" t="str">
        <f t="shared" si="4"/>
        <v/>
      </c>
      <c r="Q55" s="15"/>
      <c r="R55" s="15" t="str">
        <f t="shared" si="5"/>
        <v/>
      </c>
      <c r="S55" s="4"/>
      <c r="T55" s="4"/>
      <c r="U55" s="4"/>
      <c r="V55" s="4"/>
      <c r="W55" s="4"/>
    </row>
    <row r="56" ht="15.75" customHeight="1">
      <c r="A56" s="4"/>
      <c r="B56" s="4"/>
      <c r="C56" s="4"/>
      <c r="D56" s="4"/>
      <c r="E56" s="4"/>
      <c r="F56" s="4"/>
      <c r="G56" s="4"/>
      <c r="H56" s="6"/>
      <c r="I56" s="38"/>
      <c r="J56" s="12"/>
      <c r="K56" s="42"/>
      <c r="L56" s="10"/>
      <c r="M56" s="11" t="str">
        <f t="shared" si="2"/>
        <v/>
      </c>
      <c r="N56" s="12" t="str">
        <f t="shared" si="3"/>
        <v/>
      </c>
      <c r="O56" s="14"/>
      <c r="P56" s="14" t="str">
        <f t="shared" si="4"/>
        <v/>
      </c>
      <c r="Q56" s="15"/>
      <c r="R56" s="15" t="str">
        <f t="shared" si="5"/>
        <v/>
      </c>
      <c r="S56" s="4"/>
      <c r="T56" s="4"/>
      <c r="U56" s="4"/>
      <c r="V56" s="4"/>
      <c r="W56" s="4"/>
    </row>
    <row r="57" ht="15.75" customHeight="1">
      <c r="A57" s="4"/>
      <c r="B57" s="4"/>
      <c r="C57" s="4"/>
      <c r="D57" s="4"/>
      <c r="E57" s="4"/>
      <c r="F57" s="4"/>
      <c r="G57" s="4"/>
      <c r="H57" s="6"/>
      <c r="I57" s="38"/>
      <c r="J57" s="12"/>
      <c r="K57" s="42"/>
      <c r="L57" s="10"/>
      <c r="M57" s="11" t="str">
        <f t="shared" si="2"/>
        <v/>
      </c>
      <c r="N57" s="12" t="str">
        <f t="shared" si="3"/>
        <v/>
      </c>
      <c r="O57" s="14"/>
      <c r="P57" s="14" t="str">
        <f t="shared" si="4"/>
        <v/>
      </c>
      <c r="Q57" s="15"/>
      <c r="R57" s="15" t="str">
        <f t="shared" si="5"/>
        <v/>
      </c>
      <c r="S57" s="4"/>
      <c r="T57" s="4"/>
      <c r="U57" s="4"/>
      <c r="V57" s="4"/>
      <c r="W57" s="4"/>
    </row>
    <row r="58" ht="15.75" customHeight="1">
      <c r="A58" s="4"/>
      <c r="B58" s="4"/>
      <c r="C58" s="4"/>
      <c r="D58" s="4"/>
      <c r="E58" s="4"/>
      <c r="F58" s="4"/>
      <c r="G58" s="4"/>
      <c r="H58" s="6"/>
      <c r="I58" s="38"/>
      <c r="J58" s="12"/>
      <c r="K58" s="42"/>
      <c r="L58" s="10"/>
      <c r="M58" s="11" t="str">
        <f t="shared" si="2"/>
        <v/>
      </c>
      <c r="N58" s="12" t="str">
        <f t="shared" si="3"/>
        <v/>
      </c>
      <c r="O58" s="14"/>
      <c r="P58" s="14" t="str">
        <f t="shared" si="4"/>
        <v/>
      </c>
      <c r="Q58" s="15"/>
      <c r="R58" s="15" t="str">
        <f t="shared" si="5"/>
        <v/>
      </c>
      <c r="S58" s="4"/>
      <c r="T58" s="4"/>
      <c r="U58" s="4"/>
      <c r="V58" s="4"/>
      <c r="W58" s="4"/>
    </row>
    <row r="59" ht="15.75" customHeight="1">
      <c r="A59" s="4"/>
      <c r="B59" s="4"/>
      <c r="C59" s="4"/>
      <c r="D59" s="4"/>
      <c r="E59" s="4"/>
      <c r="F59" s="4"/>
      <c r="G59" s="4"/>
      <c r="H59" s="6"/>
      <c r="I59" s="38"/>
      <c r="J59" s="12"/>
      <c r="K59" s="42"/>
      <c r="L59" s="10"/>
      <c r="M59" s="11" t="str">
        <f t="shared" si="2"/>
        <v/>
      </c>
      <c r="N59" s="12" t="str">
        <f t="shared" si="3"/>
        <v/>
      </c>
      <c r="O59" s="14"/>
      <c r="P59" s="14" t="str">
        <f t="shared" si="4"/>
        <v/>
      </c>
      <c r="Q59" s="15"/>
      <c r="R59" s="15" t="str">
        <f t="shared" si="5"/>
        <v/>
      </c>
      <c r="S59" s="4"/>
      <c r="T59" s="4"/>
      <c r="U59" s="4"/>
      <c r="V59" s="4"/>
      <c r="W59" s="4"/>
    </row>
    <row r="60" ht="15.75" customHeight="1">
      <c r="A60" s="4"/>
      <c r="B60" s="4"/>
      <c r="C60" s="4"/>
      <c r="D60" s="4"/>
      <c r="E60" s="4"/>
      <c r="F60" s="4"/>
      <c r="G60" s="4"/>
      <c r="H60" s="6"/>
      <c r="I60" s="38"/>
      <c r="J60" s="12"/>
      <c r="K60" s="42"/>
      <c r="L60" s="10"/>
      <c r="M60" s="11" t="str">
        <f t="shared" si="2"/>
        <v/>
      </c>
      <c r="N60" s="12" t="str">
        <f t="shared" si="3"/>
        <v/>
      </c>
      <c r="O60" s="14"/>
      <c r="P60" s="14" t="str">
        <f t="shared" si="4"/>
        <v/>
      </c>
      <c r="Q60" s="15"/>
      <c r="R60" s="15" t="str">
        <f t="shared" si="5"/>
        <v/>
      </c>
      <c r="S60" s="4"/>
      <c r="T60" s="4"/>
      <c r="U60" s="4"/>
      <c r="V60" s="4"/>
      <c r="W60" s="4"/>
    </row>
    <row r="61" ht="15.75" customHeight="1">
      <c r="A61" s="4"/>
      <c r="B61" s="4"/>
      <c r="C61" s="4"/>
      <c r="D61" s="4"/>
      <c r="E61" s="4"/>
      <c r="F61" s="4"/>
      <c r="G61" s="4"/>
      <c r="H61" s="6"/>
      <c r="I61" s="38"/>
      <c r="J61" s="12"/>
      <c r="K61" s="42"/>
      <c r="L61" s="10"/>
      <c r="M61" s="11" t="str">
        <f t="shared" si="2"/>
        <v/>
      </c>
      <c r="N61" s="12" t="str">
        <f t="shared" si="3"/>
        <v/>
      </c>
      <c r="O61" s="14"/>
      <c r="P61" s="14" t="str">
        <f t="shared" si="4"/>
        <v/>
      </c>
      <c r="Q61" s="15"/>
      <c r="R61" s="15" t="str">
        <f t="shared" si="5"/>
        <v/>
      </c>
      <c r="S61" s="4"/>
      <c r="T61" s="4"/>
      <c r="U61" s="4"/>
      <c r="V61" s="4"/>
      <c r="W61" s="4"/>
    </row>
    <row r="62" ht="15.75" customHeight="1">
      <c r="A62" s="4"/>
      <c r="B62" s="4"/>
      <c r="C62" s="4"/>
      <c r="D62" s="4"/>
      <c r="E62" s="4"/>
      <c r="F62" s="4"/>
      <c r="G62" s="4"/>
      <c r="H62" s="6"/>
      <c r="I62" s="38"/>
      <c r="J62" s="12"/>
      <c r="K62" s="42"/>
      <c r="L62" s="10"/>
      <c r="M62" s="11" t="str">
        <f t="shared" si="2"/>
        <v/>
      </c>
      <c r="N62" s="12" t="str">
        <f t="shared" si="3"/>
        <v/>
      </c>
      <c r="O62" s="14"/>
      <c r="P62" s="14" t="str">
        <f t="shared" si="4"/>
        <v/>
      </c>
      <c r="Q62" s="15"/>
      <c r="R62" s="15" t="str">
        <f t="shared" si="5"/>
        <v/>
      </c>
      <c r="S62" s="4"/>
      <c r="T62" s="4"/>
      <c r="U62" s="4"/>
      <c r="V62" s="4"/>
      <c r="W62" s="4"/>
    </row>
    <row r="63" ht="15.75" customHeight="1">
      <c r="A63" s="4"/>
      <c r="B63" s="4"/>
      <c r="C63" s="4"/>
      <c r="D63" s="4"/>
      <c r="E63" s="4"/>
      <c r="F63" s="4"/>
      <c r="G63" s="4"/>
      <c r="H63" s="6"/>
      <c r="I63" s="38"/>
      <c r="J63" s="12"/>
      <c r="K63" s="42"/>
      <c r="L63" s="10"/>
      <c r="M63" s="11" t="str">
        <f t="shared" si="2"/>
        <v/>
      </c>
      <c r="N63" s="12" t="str">
        <f t="shared" si="3"/>
        <v/>
      </c>
      <c r="O63" s="14"/>
      <c r="P63" s="14" t="str">
        <f t="shared" si="4"/>
        <v/>
      </c>
      <c r="Q63" s="15"/>
      <c r="R63" s="15" t="str">
        <f t="shared" si="5"/>
        <v/>
      </c>
      <c r="S63" s="4"/>
      <c r="T63" s="4"/>
      <c r="U63" s="4"/>
      <c r="V63" s="4"/>
      <c r="W63" s="4"/>
    </row>
    <row r="64" ht="15.75" customHeight="1">
      <c r="A64" s="4"/>
      <c r="B64" s="4"/>
      <c r="C64" s="4"/>
      <c r="D64" s="4"/>
      <c r="E64" s="4"/>
      <c r="F64" s="4"/>
      <c r="G64" s="4"/>
      <c r="H64" s="6"/>
      <c r="I64" s="38"/>
      <c r="J64" s="12"/>
      <c r="K64" s="42"/>
      <c r="L64" s="10"/>
      <c r="M64" s="11" t="str">
        <f t="shared" si="2"/>
        <v/>
      </c>
      <c r="N64" s="12" t="str">
        <f t="shared" si="3"/>
        <v/>
      </c>
      <c r="O64" s="14"/>
      <c r="P64" s="14" t="str">
        <f t="shared" si="4"/>
        <v/>
      </c>
      <c r="Q64" s="15"/>
      <c r="R64" s="15" t="str">
        <f t="shared" si="5"/>
        <v/>
      </c>
      <c r="S64" s="4"/>
      <c r="T64" s="4"/>
      <c r="U64" s="4"/>
      <c r="V64" s="4"/>
      <c r="W64" s="4"/>
    </row>
    <row r="65" ht="15.75" customHeight="1">
      <c r="A65" s="4"/>
      <c r="B65" s="4"/>
      <c r="C65" s="4"/>
      <c r="D65" s="4"/>
      <c r="E65" s="4"/>
      <c r="F65" s="4"/>
      <c r="G65" s="4"/>
      <c r="H65" s="6"/>
      <c r="I65" s="38"/>
      <c r="J65" s="12"/>
      <c r="K65" s="42"/>
      <c r="L65" s="10"/>
      <c r="M65" s="11" t="str">
        <f t="shared" si="2"/>
        <v/>
      </c>
      <c r="N65" s="12" t="str">
        <f t="shared" si="3"/>
        <v/>
      </c>
      <c r="O65" s="14"/>
      <c r="P65" s="14" t="str">
        <f t="shared" si="4"/>
        <v/>
      </c>
      <c r="Q65" s="15"/>
      <c r="R65" s="15" t="str">
        <f t="shared" si="5"/>
        <v/>
      </c>
      <c r="S65" s="4"/>
      <c r="T65" s="4"/>
      <c r="U65" s="4"/>
      <c r="V65" s="4"/>
      <c r="W65" s="4"/>
    </row>
    <row r="66" ht="15.75" customHeight="1">
      <c r="A66" s="4"/>
      <c r="B66" s="4"/>
      <c r="C66" s="4"/>
      <c r="D66" s="4"/>
      <c r="E66" s="4"/>
      <c r="F66" s="4"/>
      <c r="G66" s="4"/>
      <c r="H66" s="6"/>
      <c r="I66" s="38"/>
      <c r="J66" s="12"/>
      <c r="K66" s="42"/>
      <c r="L66" s="10"/>
      <c r="M66" s="11" t="str">
        <f t="shared" si="2"/>
        <v/>
      </c>
      <c r="N66" s="12" t="str">
        <f t="shared" si="3"/>
        <v/>
      </c>
      <c r="O66" s="14"/>
      <c r="P66" s="14" t="str">
        <f t="shared" si="4"/>
        <v/>
      </c>
      <c r="Q66" s="15"/>
      <c r="R66" s="15" t="str">
        <f t="shared" si="5"/>
        <v/>
      </c>
      <c r="S66" s="4"/>
      <c r="T66" s="4"/>
      <c r="U66" s="4"/>
      <c r="V66" s="4"/>
      <c r="W66" s="4"/>
    </row>
    <row r="67" ht="15.75" customHeight="1">
      <c r="A67" s="4"/>
      <c r="B67" s="4"/>
      <c r="C67" s="4"/>
      <c r="D67" s="4"/>
      <c r="E67" s="4"/>
      <c r="F67" s="4"/>
      <c r="G67" s="4"/>
      <c r="H67" s="6"/>
      <c r="I67" s="38"/>
      <c r="J67" s="12"/>
      <c r="K67" s="42"/>
      <c r="L67" s="10"/>
      <c r="M67" s="11" t="str">
        <f t="shared" si="2"/>
        <v/>
      </c>
      <c r="N67" s="12" t="str">
        <f t="shared" si="3"/>
        <v/>
      </c>
      <c r="O67" s="14"/>
      <c r="P67" s="14" t="str">
        <f t="shared" si="4"/>
        <v/>
      </c>
      <c r="Q67" s="15"/>
      <c r="R67" s="15" t="str">
        <f t="shared" si="5"/>
        <v/>
      </c>
      <c r="S67" s="4"/>
      <c r="T67" s="4"/>
      <c r="U67" s="4"/>
      <c r="V67" s="4"/>
      <c r="W67" s="4"/>
    </row>
    <row r="68" ht="15.75" customHeight="1">
      <c r="A68" s="4"/>
      <c r="B68" s="4"/>
      <c r="C68" s="4"/>
      <c r="D68" s="4"/>
      <c r="E68" s="4"/>
      <c r="F68" s="4"/>
      <c r="G68" s="4"/>
      <c r="H68" s="6"/>
      <c r="I68" s="38"/>
      <c r="J68" s="12"/>
      <c r="K68" s="42"/>
      <c r="L68" s="10"/>
      <c r="M68" s="11" t="str">
        <f t="shared" si="2"/>
        <v/>
      </c>
      <c r="N68" s="12" t="str">
        <f t="shared" si="3"/>
        <v/>
      </c>
      <c r="O68" s="14"/>
      <c r="P68" s="14" t="str">
        <f t="shared" si="4"/>
        <v/>
      </c>
      <c r="Q68" s="15"/>
      <c r="R68" s="15" t="str">
        <f t="shared" si="5"/>
        <v/>
      </c>
      <c r="S68" s="4"/>
      <c r="T68" s="4"/>
      <c r="U68" s="4"/>
      <c r="V68" s="4"/>
      <c r="W68" s="4"/>
    </row>
    <row r="69" ht="15.75" customHeight="1">
      <c r="A69" s="4"/>
      <c r="B69" s="4"/>
      <c r="C69" s="4"/>
      <c r="D69" s="4"/>
      <c r="E69" s="4"/>
      <c r="F69" s="4"/>
      <c r="G69" s="4"/>
      <c r="H69" s="6"/>
      <c r="I69" s="38"/>
      <c r="J69" s="12"/>
      <c r="K69" s="42"/>
      <c r="L69" s="10"/>
      <c r="M69" s="11" t="str">
        <f t="shared" si="2"/>
        <v/>
      </c>
      <c r="N69" s="12" t="str">
        <f t="shared" si="3"/>
        <v/>
      </c>
      <c r="O69" s="14"/>
      <c r="P69" s="14" t="str">
        <f t="shared" si="4"/>
        <v/>
      </c>
      <c r="Q69" s="15"/>
      <c r="R69" s="15" t="str">
        <f t="shared" si="5"/>
        <v/>
      </c>
      <c r="S69" s="4"/>
      <c r="T69" s="4"/>
      <c r="U69" s="4"/>
      <c r="V69" s="4"/>
      <c r="W69" s="4"/>
    </row>
    <row r="70" ht="15.75" customHeight="1">
      <c r="A70" s="4"/>
      <c r="B70" s="4"/>
      <c r="C70" s="4"/>
      <c r="D70" s="4"/>
      <c r="E70" s="4"/>
      <c r="F70" s="4"/>
      <c r="G70" s="4"/>
      <c r="H70" s="6"/>
      <c r="I70" s="38"/>
      <c r="J70" s="12"/>
      <c r="K70" s="42"/>
      <c r="L70" s="10"/>
      <c r="M70" s="11" t="str">
        <f t="shared" si="2"/>
        <v/>
      </c>
      <c r="N70" s="12" t="str">
        <f t="shared" si="3"/>
        <v/>
      </c>
      <c r="O70" s="14"/>
      <c r="P70" s="14" t="str">
        <f t="shared" si="4"/>
        <v/>
      </c>
      <c r="Q70" s="15"/>
      <c r="R70" s="15" t="str">
        <f t="shared" si="5"/>
        <v/>
      </c>
      <c r="S70" s="4"/>
      <c r="T70" s="4"/>
      <c r="U70" s="4"/>
      <c r="V70" s="4"/>
      <c r="W70" s="4"/>
    </row>
    <row r="71" ht="15.75" customHeight="1">
      <c r="A71" s="4"/>
      <c r="B71" s="4"/>
      <c r="C71" s="4"/>
      <c r="D71" s="4"/>
      <c r="E71" s="4"/>
      <c r="F71" s="4"/>
      <c r="G71" s="4"/>
      <c r="H71" s="6"/>
      <c r="I71" s="38"/>
      <c r="J71" s="12"/>
      <c r="K71" s="42"/>
      <c r="L71" s="10"/>
      <c r="M71" s="11" t="str">
        <f t="shared" si="2"/>
        <v/>
      </c>
      <c r="N71" s="12" t="str">
        <f t="shared" si="3"/>
        <v/>
      </c>
      <c r="O71" s="14"/>
      <c r="P71" s="14" t="str">
        <f t="shared" si="4"/>
        <v/>
      </c>
      <c r="Q71" s="15"/>
      <c r="R71" s="15" t="str">
        <f t="shared" si="5"/>
        <v/>
      </c>
      <c r="S71" s="4"/>
      <c r="T71" s="4"/>
      <c r="U71" s="4"/>
      <c r="V71" s="4"/>
      <c r="W71" s="4"/>
    </row>
    <row r="72" ht="15.75" customHeight="1">
      <c r="A72" s="4"/>
      <c r="B72" s="4"/>
      <c r="C72" s="4"/>
      <c r="D72" s="4"/>
      <c r="E72" s="4"/>
      <c r="F72" s="4"/>
      <c r="G72" s="4"/>
      <c r="H72" s="6"/>
      <c r="I72" s="38"/>
      <c r="J72" s="12"/>
      <c r="K72" s="42"/>
      <c r="L72" s="10"/>
      <c r="M72" s="11" t="str">
        <f t="shared" si="2"/>
        <v/>
      </c>
      <c r="N72" s="12" t="str">
        <f t="shared" si="3"/>
        <v/>
      </c>
      <c r="O72" s="14"/>
      <c r="P72" s="14" t="str">
        <f t="shared" si="4"/>
        <v/>
      </c>
      <c r="Q72" s="15"/>
      <c r="R72" s="15" t="str">
        <f t="shared" si="5"/>
        <v/>
      </c>
      <c r="S72" s="4"/>
      <c r="T72" s="4"/>
      <c r="U72" s="4"/>
      <c r="V72" s="4"/>
      <c r="W72" s="4"/>
    </row>
    <row r="73" ht="15.75" customHeight="1">
      <c r="A73" s="4"/>
      <c r="B73" s="4"/>
      <c r="C73" s="4"/>
      <c r="D73" s="4"/>
      <c r="E73" s="4"/>
      <c r="F73" s="4"/>
      <c r="G73" s="4"/>
      <c r="H73" s="6"/>
      <c r="I73" s="38"/>
      <c r="J73" s="12"/>
      <c r="K73" s="42"/>
      <c r="L73" s="10"/>
      <c r="M73" s="11" t="str">
        <f t="shared" si="2"/>
        <v/>
      </c>
      <c r="N73" s="12" t="str">
        <f t="shared" si="3"/>
        <v/>
      </c>
      <c r="O73" s="14"/>
      <c r="P73" s="14" t="str">
        <f t="shared" si="4"/>
        <v/>
      </c>
      <c r="Q73" s="15"/>
      <c r="R73" s="15" t="str">
        <f t="shared" si="5"/>
        <v/>
      </c>
      <c r="S73" s="4"/>
      <c r="T73" s="4"/>
      <c r="U73" s="4"/>
      <c r="V73" s="4"/>
      <c r="W73" s="4"/>
    </row>
    <row r="74" ht="15.75" customHeight="1">
      <c r="A74" s="4"/>
      <c r="B74" s="4"/>
      <c r="C74" s="4"/>
      <c r="D74" s="4"/>
      <c r="E74" s="4"/>
      <c r="F74" s="4"/>
      <c r="G74" s="4"/>
      <c r="H74" s="6"/>
      <c r="I74" s="38"/>
      <c r="J74" s="12"/>
      <c r="K74" s="42"/>
      <c r="L74" s="10"/>
      <c r="M74" s="11" t="str">
        <f t="shared" si="2"/>
        <v/>
      </c>
      <c r="N74" s="12" t="str">
        <f t="shared" si="3"/>
        <v/>
      </c>
      <c r="O74" s="14"/>
      <c r="P74" s="14" t="str">
        <f t="shared" si="4"/>
        <v/>
      </c>
      <c r="Q74" s="15"/>
      <c r="R74" s="15" t="str">
        <f t="shared" si="5"/>
        <v/>
      </c>
      <c r="S74" s="4"/>
      <c r="T74" s="4"/>
      <c r="U74" s="4"/>
      <c r="V74" s="4"/>
      <c r="W74" s="4"/>
    </row>
    <row r="75" ht="15.75" customHeight="1">
      <c r="A75" s="4"/>
      <c r="B75" s="4"/>
      <c r="C75" s="4"/>
      <c r="D75" s="4"/>
      <c r="E75" s="4"/>
      <c r="F75" s="4"/>
      <c r="G75" s="4"/>
      <c r="H75" s="6"/>
      <c r="I75" s="38"/>
      <c r="J75" s="12"/>
      <c r="K75" s="42"/>
      <c r="L75" s="10"/>
      <c r="M75" s="11" t="str">
        <f t="shared" si="2"/>
        <v/>
      </c>
      <c r="N75" s="12" t="str">
        <f t="shared" si="3"/>
        <v/>
      </c>
      <c r="O75" s="14"/>
      <c r="P75" s="14" t="str">
        <f t="shared" si="4"/>
        <v/>
      </c>
      <c r="Q75" s="15"/>
      <c r="R75" s="15" t="str">
        <f t="shared" si="5"/>
        <v/>
      </c>
      <c r="S75" s="4"/>
      <c r="T75" s="4"/>
      <c r="U75" s="4"/>
      <c r="V75" s="4"/>
      <c r="W75" s="4"/>
    </row>
    <row r="76" ht="15.75" customHeight="1">
      <c r="A76" s="4"/>
      <c r="B76" s="4"/>
      <c r="C76" s="4"/>
      <c r="D76" s="4"/>
      <c r="E76" s="4"/>
      <c r="F76" s="4"/>
      <c r="G76" s="4"/>
      <c r="H76" s="6"/>
      <c r="I76" s="38"/>
      <c r="J76" s="12"/>
      <c r="K76" s="42"/>
      <c r="L76" s="10"/>
      <c r="M76" s="11" t="str">
        <f t="shared" si="2"/>
        <v/>
      </c>
      <c r="N76" s="12" t="str">
        <f t="shared" si="3"/>
        <v/>
      </c>
      <c r="O76" s="14"/>
      <c r="P76" s="14" t="str">
        <f t="shared" si="4"/>
        <v/>
      </c>
      <c r="Q76" s="15"/>
      <c r="R76" s="15" t="str">
        <f t="shared" si="5"/>
        <v/>
      </c>
      <c r="S76" s="4"/>
      <c r="T76" s="4"/>
      <c r="U76" s="4"/>
      <c r="V76" s="4"/>
      <c r="W76" s="4"/>
    </row>
    <row r="77" ht="15.75" customHeight="1">
      <c r="A77" s="4"/>
      <c r="B77" s="4"/>
      <c r="C77" s="4"/>
      <c r="D77" s="4"/>
      <c r="E77" s="4"/>
      <c r="F77" s="4"/>
      <c r="G77" s="4"/>
      <c r="H77" s="6"/>
      <c r="I77" s="38"/>
      <c r="J77" s="12"/>
      <c r="K77" s="42"/>
      <c r="L77" s="10"/>
      <c r="M77" s="11" t="str">
        <f t="shared" si="2"/>
        <v/>
      </c>
      <c r="N77" s="12" t="str">
        <f t="shared" si="3"/>
        <v/>
      </c>
      <c r="O77" s="14"/>
      <c r="P77" s="14" t="str">
        <f t="shared" si="4"/>
        <v/>
      </c>
      <c r="Q77" s="15"/>
      <c r="R77" s="15" t="str">
        <f t="shared" si="5"/>
        <v/>
      </c>
      <c r="S77" s="4"/>
      <c r="T77" s="4"/>
      <c r="U77" s="4"/>
      <c r="V77" s="4"/>
      <c r="W77" s="4"/>
    </row>
    <row r="78" ht="15.75" customHeight="1">
      <c r="A78" s="4"/>
      <c r="B78" s="4"/>
      <c r="C78" s="4"/>
      <c r="D78" s="4"/>
      <c r="E78" s="4"/>
      <c r="F78" s="4"/>
      <c r="G78" s="4"/>
      <c r="H78" s="6"/>
      <c r="I78" s="38"/>
      <c r="J78" s="12"/>
      <c r="K78" s="42"/>
      <c r="L78" s="10"/>
      <c r="M78" s="11" t="str">
        <f t="shared" si="2"/>
        <v/>
      </c>
      <c r="N78" s="12" t="str">
        <f t="shared" si="3"/>
        <v/>
      </c>
      <c r="O78" s="14"/>
      <c r="P78" s="14" t="str">
        <f t="shared" si="4"/>
        <v/>
      </c>
      <c r="Q78" s="15"/>
      <c r="R78" s="15" t="str">
        <f t="shared" si="5"/>
        <v/>
      </c>
      <c r="S78" s="4"/>
      <c r="T78" s="4"/>
      <c r="U78" s="4"/>
      <c r="V78" s="4"/>
      <c r="W78" s="4"/>
    </row>
    <row r="79" ht="15.75" customHeight="1">
      <c r="A79" s="4"/>
      <c r="B79" s="4"/>
      <c r="C79" s="4"/>
      <c r="D79" s="4"/>
      <c r="E79" s="4"/>
      <c r="F79" s="4"/>
      <c r="G79" s="4"/>
      <c r="H79" s="6"/>
      <c r="I79" s="38"/>
      <c r="J79" s="12"/>
      <c r="K79" s="42"/>
      <c r="L79" s="10"/>
      <c r="M79" s="11" t="str">
        <f t="shared" si="2"/>
        <v/>
      </c>
      <c r="N79" s="12" t="str">
        <f t="shared" si="3"/>
        <v/>
      </c>
      <c r="O79" s="14"/>
      <c r="P79" s="14" t="str">
        <f t="shared" si="4"/>
        <v/>
      </c>
      <c r="Q79" s="15"/>
      <c r="R79" s="15" t="str">
        <f t="shared" si="5"/>
        <v/>
      </c>
      <c r="S79" s="4"/>
      <c r="T79" s="4"/>
      <c r="U79" s="4"/>
      <c r="V79" s="4"/>
      <c r="W79" s="4"/>
    </row>
    <row r="80" ht="15.75" customHeight="1">
      <c r="A80" s="4"/>
      <c r="B80" s="4"/>
      <c r="C80" s="4"/>
      <c r="D80" s="4"/>
      <c r="E80" s="4"/>
      <c r="F80" s="4"/>
      <c r="G80" s="4"/>
      <c r="H80" s="6"/>
      <c r="I80" s="38"/>
      <c r="J80" s="12"/>
      <c r="K80" s="42"/>
      <c r="L80" s="10"/>
      <c r="M80" s="11" t="str">
        <f t="shared" si="2"/>
        <v/>
      </c>
      <c r="N80" s="12" t="str">
        <f t="shared" si="3"/>
        <v/>
      </c>
      <c r="O80" s="14"/>
      <c r="P80" s="14" t="str">
        <f t="shared" si="4"/>
        <v/>
      </c>
      <c r="Q80" s="15"/>
      <c r="R80" s="15" t="str">
        <f t="shared" si="5"/>
        <v/>
      </c>
      <c r="S80" s="4"/>
      <c r="T80" s="4"/>
      <c r="U80" s="4"/>
      <c r="V80" s="4"/>
      <c r="W80" s="4"/>
    </row>
    <row r="81" ht="15.75" customHeight="1">
      <c r="A81" s="4"/>
      <c r="B81" s="4"/>
      <c r="C81" s="4"/>
      <c r="D81" s="4"/>
      <c r="E81" s="4"/>
      <c r="F81" s="4"/>
      <c r="G81" s="4"/>
      <c r="H81" s="6"/>
      <c r="I81" s="38"/>
      <c r="J81" s="12"/>
      <c r="K81" s="42"/>
      <c r="L81" s="10"/>
      <c r="M81" s="11" t="str">
        <f t="shared" si="2"/>
        <v/>
      </c>
      <c r="N81" s="12" t="str">
        <f t="shared" si="3"/>
        <v/>
      </c>
      <c r="O81" s="14"/>
      <c r="P81" s="14" t="str">
        <f t="shared" si="4"/>
        <v/>
      </c>
      <c r="Q81" s="15"/>
      <c r="R81" s="15" t="str">
        <f t="shared" si="5"/>
        <v/>
      </c>
      <c r="S81" s="4"/>
      <c r="T81" s="4"/>
      <c r="U81" s="4"/>
      <c r="V81" s="4"/>
      <c r="W81" s="4"/>
    </row>
    <row r="82" ht="15.75" customHeight="1">
      <c r="A82" s="4"/>
      <c r="B82" s="4"/>
      <c r="C82" s="4"/>
      <c r="D82" s="4"/>
      <c r="E82" s="4"/>
      <c r="F82" s="4"/>
      <c r="G82" s="4"/>
      <c r="H82" s="6"/>
      <c r="I82" s="38"/>
      <c r="J82" s="12"/>
      <c r="K82" s="42"/>
      <c r="L82" s="10"/>
      <c r="M82" s="11" t="str">
        <f t="shared" si="2"/>
        <v/>
      </c>
      <c r="N82" s="12" t="str">
        <f t="shared" si="3"/>
        <v/>
      </c>
      <c r="O82" s="14"/>
      <c r="P82" s="14" t="str">
        <f t="shared" si="4"/>
        <v/>
      </c>
      <c r="Q82" s="15"/>
      <c r="R82" s="15" t="str">
        <f t="shared" si="5"/>
        <v/>
      </c>
      <c r="S82" s="4"/>
      <c r="T82" s="4"/>
      <c r="U82" s="4"/>
      <c r="V82" s="4"/>
      <c r="W82" s="4"/>
    </row>
    <row r="83" ht="15.75" customHeight="1">
      <c r="A83" s="4"/>
      <c r="B83" s="4"/>
      <c r="C83" s="4"/>
      <c r="D83" s="4"/>
      <c r="E83" s="4"/>
      <c r="F83" s="4"/>
      <c r="G83" s="4"/>
      <c r="H83" s="6"/>
      <c r="I83" s="38"/>
      <c r="J83" s="12"/>
      <c r="K83" s="42"/>
      <c r="L83" s="10"/>
      <c r="M83" s="11" t="str">
        <f t="shared" si="2"/>
        <v/>
      </c>
      <c r="N83" s="12" t="str">
        <f t="shared" si="3"/>
        <v/>
      </c>
      <c r="O83" s="14"/>
      <c r="P83" s="14" t="str">
        <f t="shared" si="4"/>
        <v/>
      </c>
      <c r="Q83" s="15"/>
      <c r="R83" s="15" t="str">
        <f t="shared" si="5"/>
        <v/>
      </c>
      <c r="S83" s="4"/>
      <c r="T83" s="4"/>
      <c r="U83" s="4"/>
      <c r="V83" s="4"/>
      <c r="W83" s="4"/>
    </row>
    <row r="84" ht="15.75" customHeight="1">
      <c r="A84" s="4"/>
      <c r="B84" s="4"/>
      <c r="C84" s="4"/>
      <c r="D84" s="4"/>
      <c r="E84" s="4"/>
      <c r="F84" s="4"/>
      <c r="G84" s="4"/>
      <c r="H84" s="6"/>
      <c r="I84" s="38"/>
      <c r="J84" s="12"/>
      <c r="K84" s="42"/>
      <c r="L84" s="10"/>
      <c r="M84" s="11" t="str">
        <f t="shared" si="2"/>
        <v/>
      </c>
      <c r="N84" s="12" t="str">
        <f t="shared" si="3"/>
        <v/>
      </c>
      <c r="O84" s="14"/>
      <c r="P84" s="14" t="str">
        <f t="shared" si="4"/>
        <v/>
      </c>
      <c r="Q84" s="15"/>
      <c r="R84" s="15" t="str">
        <f t="shared" si="5"/>
        <v/>
      </c>
      <c r="S84" s="4"/>
      <c r="T84" s="4"/>
      <c r="U84" s="4"/>
      <c r="V84" s="4"/>
      <c r="W84" s="4"/>
    </row>
    <row r="85" ht="15.75" customHeight="1">
      <c r="A85" s="4"/>
      <c r="B85" s="4"/>
      <c r="C85" s="4"/>
      <c r="D85" s="4"/>
      <c r="E85" s="4"/>
      <c r="F85" s="4"/>
      <c r="G85" s="4"/>
      <c r="H85" s="6"/>
      <c r="I85" s="38"/>
      <c r="J85" s="12"/>
      <c r="K85" s="42"/>
      <c r="L85" s="10"/>
      <c r="M85" s="11" t="str">
        <f t="shared" si="2"/>
        <v/>
      </c>
      <c r="N85" s="12" t="str">
        <f t="shared" si="3"/>
        <v/>
      </c>
      <c r="O85" s="14"/>
      <c r="P85" s="14" t="str">
        <f t="shared" si="4"/>
        <v/>
      </c>
      <c r="Q85" s="15"/>
      <c r="R85" s="15" t="str">
        <f t="shared" si="5"/>
        <v/>
      </c>
      <c r="S85" s="4"/>
      <c r="T85" s="4"/>
      <c r="U85" s="4"/>
      <c r="V85" s="4"/>
      <c r="W85" s="4"/>
    </row>
    <row r="86" ht="15.75" customHeight="1">
      <c r="A86" s="4"/>
      <c r="B86" s="4"/>
      <c r="C86" s="4"/>
      <c r="D86" s="4"/>
      <c r="E86" s="4"/>
      <c r="F86" s="4"/>
      <c r="G86" s="4"/>
      <c r="H86" s="6"/>
      <c r="I86" s="38"/>
      <c r="J86" s="12"/>
      <c r="K86" s="42"/>
      <c r="L86" s="10"/>
      <c r="M86" s="11" t="str">
        <f t="shared" si="2"/>
        <v/>
      </c>
      <c r="N86" s="12" t="str">
        <f t="shared" si="3"/>
        <v/>
      </c>
      <c r="O86" s="14"/>
      <c r="P86" s="14" t="str">
        <f t="shared" si="4"/>
        <v/>
      </c>
      <c r="Q86" s="15"/>
      <c r="R86" s="15" t="str">
        <f t="shared" si="5"/>
        <v/>
      </c>
      <c r="S86" s="4"/>
      <c r="T86" s="4"/>
      <c r="U86" s="4"/>
      <c r="V86" s="4"/>
      <c r="W86" s="4"/>
    </row>
    <row r="87" ht="15.75" customHeight="1">
      <c r="A87" s="4"/>
      <c r="B87" s="4"/>
      <c r="C87" s="4"/>
      <c r="D87" s="4"/>
      <c r="E87" s="4"/>
      <c r="F87" s="4"/>
      <c r="G87" s="4"/>
      <c r="H87" s="6"/>
      <c r="I87" s="38"/>
      <c r="J87" s="12"/>
      <c r="K87" s="42"/>
      <c r="L87" s="10"/>
      <c r="M87" s="11" t="str">
        <f t="shared" si="2"/>
        <v/>
      </c>
      <c r="N87" s="12" t="str">
        <f t="shared" si="3"/>
        <v/>
      </c>
      <c r="O87" s="14"/>
      <c r="P87" s="14" t="str">
        <f t="shared" si="4"/>
        <v/>
      </c>
      <c r="Q87" s="15"/>
      <c r="R87" s="15" t="str">
        <f t="shared" si="5"/>
        <v/>
      </c>
      <c r="S87" s="4"/>
      <c r="T87" s="4"/>
      <c r="U87" s="4"/>
      <c r="V87" s="4"/>
      <c r="W87" s="4"/>
    </row>
    <row r="88" ht="15.75" customHeight="1">
      <c r="A88" s="4"/>
      <c r="B88" s="4"/>
      <c r="C88" s="4"/>
      <c r="D88" s="4"/>
      <c r="E88" s="4"/>
      <c r="F88" s="4"/>
      <c r="G88" s="4"/>
      <c r="H88" s="6"/>
      <c r="I88" s="38"/>
      <c r="J88" s="12"/>
      <c r="K88" s="42"/>
      <c r="L88" s="10"/>
      <c r="M88" s="11" t="str">
        <f t="shared" si="2"/>
        <v/>
      </c>
      <c r="N88" s="12" t="str">
        <f t="shared" si="3"/>
        <v/>
      </c>
      <c r="O88" s="14"/>
      <c r="P88" s="14" t="str">
        <f t="shared" si="4"/>
        <v/>
      </c>
      <c r="Q88" s="15"/>
      <c r="R88" s="15" t="str">
        <f t="shared" si="5"/>
        <v/>
      </c>
      <c r="S88" s="4"/>
      <c r="T88" s="4"/>
      <c r="U88" s="4"/>
      <c r="V88" s="4"/>
      <c r="W88" s="4"/>
    </row>
    <row r="89" ht="15.75" customHeight="1">
      <c r="A89" s="4"/>
      <c r="B89" s="4"/>
      <c r="C89" s="4"/>
      <c r="D89" s="4"/>
      <c r="E89" s="4"/>
      <c r="F89" s="4"/>
      <c r="G89" s="4"/>
      <c r="H89" s="6"/>
      <c r="I89" s="38"/>
      <c r="J89" s="12"/>
      <c r="K89" s="42"/>
      <c r="L89" s="10"/>
      <c r="M89" s="11" t="str">
        <f t="shared" si="2"/>
        <v/>
      </c>
      <c r="N89" s="12" t="str">
        <f t="shared" si="3"/>
        <v/>
      </c>
      <c r="O89" s="14"/>
      <c r="P89" s="14" t="str">
        <f t="shared" si="4"/>
        <v/>
      </c>
      <c r="Q89" s="15"/>
      <c r="R89" s="15" t="str">
        <f t="shared" si="5"/>
        <v/>
      </c>
      <c r="S89" s="4"/>
      <c r="T89" s="4"/>
      <c r="U89" s="4"/>
      <c r="V89" s="4"/>
      <c r="W89" s="4"/>
    </row>
    <row r="90" ht="15.75" customHeight="1">
      <c r="A90" s="4"/>
      <c r="B90" s="4"/>
      <c r="C90" s="4"/>
      <c r="D90" s="4"/>
      <c r="E90" s="4"/>
      <c r="F90" s="4"/>
      <c r="G90" s="4"/>
      <c r="H90" s="6"/>
      <c r="I90" s="38"/>
      <c r="J90" s="12"/>
      <c r="K90" s="42"/>
      <c r="L90" s="10"/>
      <c r="M90" s="11" t="str">
        <f t="shared" si="2"/>
        <v/>
      </c>
      <c r="N90" s="12" t="str">
        <f t="shared" si="3"/>
        <v/>
      </c>
      <c r="O90" s="14"/>
      <c r="P90" s="14" t="str">
        <f t="shared" si="4"/>
        <v/>
      </c>
      <c r="Q90" s="15"/>
      <c r="R90" s="15" t="str">
        <f t="shared" si="5"/>
        <v/>
      </c>
      <c r="S90" s="4"/>
      <c r="T90" s="4"/>
      <c r="U90" s="4"/>
      <c r="V90" s="4"/>
      <c r="W90" s="4"/>
    </row>
    <row r="91" ht="15.75" customHeight="1">
      <c r="A91" s="4"/>
      <c r="B91" s="4"/>
      <c r="C91" s="4"/>
      <c r="D91" s="4"/>
      <c r="E91" s="4"/>
      <c r="F91" s="4"/>
      <c r="G91" s="4"/>
      <c r="H91" s="6"/>
      <c r="I91" s="38"/>
      <c r="J91" s="12"/>
      <c r="K91" s="42"/>
      <c r="L91" s="10"/>
      <c r="M91" s="11" t="str">
        <f t="shared" si="2"/>
        <v/>
      </c>
      <c r="N91" s="12" t="str">
        <f t="shared" si="3"/>
        <v/>
      </c>
      <c r="O91" s="14"/>
      <c r="P91" s="14" t="str">
        <f t="shared" si="4"/>
        <v/>
      </c>
      <c r="Q91" s="15"/>
      <c r="R91" s="15" t="str">
        <f t="shared" si="5"/>
        <v/>
      </c>
      <c r="S91" s="4"/>
      <c r="T91" s="4"/>
      <c r="U91" s="4"/>
      <c r="V91" s="4"/>
      <c r="W91" s="4"/>
    </row>
    <row r="92" ht="15.75" customHeight="1">
      <c r="A92" s="4"/>
      <c r="B92" s="4"/>
      <c r="C92" s="4"/>
      <c r="D92" s="4"/>
      <c r="E92" s="4"/>
      <c r="F92" s="4"/>
      <c r="G92" s="4"/>
      <c r="H92" s="6"/>
      <c r="I92" s="38"/>
      <c r="J92" s="12"/>
      <c r="K92" s="42"/>
      <c r="L92" s="10"/>
      <c r="M92" s="11" t="str">
        <f t="shared" si="2"/>
        <v/>
      </c>
      <c r="N92" s="12" t="str">
        <f t="shared" si="3"/>
        <v/>
      </c>
      <c r="O92" s="14"/>
      <c r="P92" s="14" t="str">
        <f t="shared" si="4"/>
        <v/>
      </c>
      <c r="Q92" s="15"/>
      <c r="R92" s="15" t="str">
        <f t="shared" si="5"/>
        <v/>
      </c>
      <c r="S92" s="4"/>
      <c r="T92" s="4"/>
      <c r="U92" s="4"/>
      <c r="V92" s="4"/>
      <c r="W92" s="4"/>
    </row>
    <row r="93" ht="15.75" customHeight="1">
      <c r="A93" s="4"/>
      <c r="B93" s="4"/>
      <c r="C93" s="4"/>
      <c r="D93" s="4"/>
      <c r="E93" s="4"/>
      <c r="F93" s="4"/>
      <c r="G93" s="4"/>
      <c r="H93" s="6"/>
      <c r="I93" s="38"/>
      <c r="J93" s="12"/>
      <c r="K93" s="42"/>
      <c r="L93" s="10"/>
      <c r="M93" s="11" t="str">
        <f t="shared" si="2"/>
        <v/>
      </c>
      <c r="N93" s="12" t="str">
        <f t="shared" si="3"/>
        <v/>
      </c>
      <c r="O93" s="14"/>
      <c r="P93" s="14" t="str">
        <f t="shared" si="4"/>
        <v/>
      </c>
      <c r="Q93" s="15"/>
      <c r="R93" s="15" t="str">
        <f t="shared" si="5"/>
        <v/>
      </c>
      <c r="S93" s="4"/>
      <c r="T93" s="4"/>
      <c r="U93" s="4"/>
      <c r="V93" s="4"/>
      <c r="W93" s="4"/>
    </row>
    <row r="94" ht="15.75" customHeight="1">
      <c r="A94" s="4"/>
      <c r="B94" s="4"/>
      <c r="C94" s="4"/>
      <c r="D94" s="4"/>
      <c r="E94" s="4"/>
      <c r="F94" s="4"/>
      <c r="G94" s="4"/>
      <c r="H94" s="6"/>
      <c r="I94" s="38"/>
      <c r="J94" s="12"/>
      <c r="K94" s="42"/>
      <c r="L94" s="10"/>
      <c r="M94" s="11" t="str">
        <f t="shared" si="2"/>
        <v/>
      </c>
      <c r="N94" s="12" t="str">
        <f t="shared" si="3"/>
        <v/>
      </c>
      <c r="O94" s="14"/>
      <c r="P94" s="14" t="str">
        <f t="shared" si="4"/>
        <v/>
      </c>
      <c r="Q94" s="15"/>
      <c r="R94" s="15" t="str">
        <f t="shared" si="5"/>
        <v/>
      </c>
      <c r="S94" s="4"/>
      <c r="T94" s="4"/>
      <c r="U94" s="4"/>
      <c r="V94" s="4"/>
      <c r="W94" s="4"/>
    </row>
    <row r="95" ht="15.75" customHeight="1">
      <c r="A95" s="4"/>
      <c r="B95" s="4"/>
      <c r="C95" s="4"/>
      <c r="D95" s="4"/>
      <c r="E95" s="4"/>
      <c r="F95" s="4"/>
      <c r="G95" s="4"/>
      <c r="H95" s="6"/>
      <c r="I95" s="38"/>
      <c r="J95" s="12"/>
      <c r="K95" s="42"/>
      <c r="L95" s="10"/>
      <c r="M95" s="11" t="str">
        <f t="shared" si="2"/>
        <v/>
      </c>
      <c r="N95" s="12" t="str">
        <f t="shared" si="3"/>
        <v/>
      </c>
      <c r="O95" s="14"/>
      <c r="P95" s="14" t="str">
        <f t="shared" si="4"/>
        <v/>
      </c>
      <c r="Q95" s="15"/>
      <c r="R95" s="15" t="str">
        <f t="shared" si="5"/>
        <v/>
      </c>
      <c r="S95" s="4"/>
      <c r="T95" s="4"/>
      <c r="U95" s="4"/>
      <c r="V95" s="4"/>
      <c r="W95" s="4"/>
    </row>
    <row r="96" ht="15.75" customHeight="1">
      <c r="A96" s="4"/>
      <c r="B96" s="4"/>
      <c r="C96" s="4"/>
      <c r="D96" s="4"/>
      <c r="E96" s="4"/>
      <c r="F96" s="4"/>
      <c r="G96" s="4"/>
      <c r="H96" s="6"/>
      <c r="I96" s="38"/>
      <c r="J96" s="12"/>
      <c r="K96" s="42"/>
      <c r="L96" s="10"/>
      <c r="M96" s="11" t="str">
        <f t="shared" si="2"/>
        <v/>
      </c>
      <c r="N96" s="12" t="str">
        <f t="shared" si="3"/>
        <v/>
      </c>
      <c r="O96" s="14"/>
      <c r="P96" s="14" t="str">
        <f t="shared" si="4"/>
        <v/>
      </c>
      <c r="Q96" s="15"/>
      <c r="R96" s="15" t="str">
        <f t="shared" si="5"/>
        <v/>
      </c>
      <c r="S96" s="4"/>
      <c r="T96" s="4"/>
      <c r="U96" s="4"/>
      <c r="V96" s="4"/>
      <c r="W96" s="4"/>
    </row>
    <row r="97" ht="15.75" customHeight="1">
      <c r="A97" s="4"/>
      <c r="B97" s="4"/>
      <c r="C97" s="4"/>
      <c r="D97" s="4"/>
      <c r="E97" s="4"/>
      <c r="F97" s="4"/>
      <c r="G97" s="4"/>
      <c r="H97" s="6"/>
      <c r="I97" s="38"/>
      <c r="J97" s="12"/>
      <c r="K97" s="42"/>
      <c r="L97" s="10"/>
      <c r="M97" s="11" t="str">
        <f t="shared" si="2"/>
        <v/>
      </c>
      <c r="N97" s="12" t="str">
        <f t="shared" si="3"/>
        <v/>
      </c>
      <c r="O97" s="14"/>
      <c r="P97" s="14" t="str">
        <f t="shared" si="4"/>
        <v/>
      </c>
      <c r="Q97" s="15"/>
      <c r="R97" s="15" t="str">
        <f t="shared" si="5"/>
        <v/>
      </c>
      <c r="S97" s="4"/>
      <c r="T97" s="4"/>
      <c r="U97" s="4"/>
      <c r="V97" s="4"/>
      <c r="W97" s="4"/>
    </row>
    <row r="98" ht="15.75" customHeight="1">
      <c r="A98" s="4"/>
      <c r="B98" s="4"/>
      <c r="C98" s="4"/>
      <c r="D98" s="4"/>
      <c r="E98" s="4"/>
      <c r="F98" s="4"/>
      <c r="G98" s="4"/>
      <c r="H98" s="6"/>
      <c r="I98" s="38"/>
      <c r="J98" s="12"/>
      <c r="K98" s="42"/>
      <c r="L98" s="10"/>
      <c r="M98" s="11" t="str">
        <f t="shared" si="2"/>
        <v/>
      </c>
      <c r="N98" s="12" t="str">
        <f t="shared" si="3"/>
        <v/>
      </c>
      <c r="O98" s="14"/>
      <c r="P98" s="14" t="str">
        <f t="shared" si="4"/>
        <v/>
      </c>
      <c r="Q98" s="15"/>
      <c r="R98" s="15" t="str">
        <f t="shared" si="5"/>
        <v/>
      </c>
      <c r="S98" s="4"/>
      <c r="T98" s="4"/>
      <c r="U98" s="4"/>
      <c r="V98" s="4"/>
      <c r="W98" s="4"/>
    </row>
    <row r="99" ht="15.75" customHeight="1">
      <c r="A99" s="4"/>
      <c r="B99" s="4"/>
      <c r="C99" s="4"/>
      <c r="D99" s="4"/>
      <c r="E99" s="4"/>
      <c r="F99" s="4"/>
      <c r="G99" s="4"/>
      <c r="H99" s="6"/>
      <c r="I99" s="38"/>
      <c r="J99" s="12"/>
      <c r="K99" s="42"/>
      <c r="L99" s="10"/>
      <c r="M99" s="11" t="str">
        <f t="shared" si="2"/>
        <v/>
      </c>
      <c r="N99" s="12" t="str">
        <f t="shared" si="3"/>
        <v/>
      </c>
      <c r="O99" s="14"/>
      <c r="P99" s="14" t="str">
        <f t="shared" si="4"/>
        <v/>
      </c>
      <c r="Q99" s="15"/>
      <c r="R99" s="15" t="str">
        <f t="shared" si="5"/>
        <v/>
      </c>
      <c r="S99" s="4"/>
      <c r="T99" s="4"/>
      <c r="U99" s="4"/>
      <c r="V99" s="4"/>
      <c r="W99" s="4"/>
    </row>
    <row r="100" ht="15.75" customHeight="1">
      <c r="A100" s="4"/>
      <c r="B100" s="4"/>
      <c r="C100" s="4"/>
      <c r="D100" s="4"/>
      <c r="E100" s="4"/>
      <c r="F100" s="4"/>
      <c r="G100" s="4"/>
      <c r="H100" s="6"/>
      <c r="I100" s="38"/>
      <c r="J100" s="12"/>
      <c r="K100" s="42"/>
      <c r="L100" s="10"/>
      <c r="M100" s="11" t="str">
        <f t="shared" si="2"/>
        <v/>
      </c>
      <c r="N100" s="12" t="str">
        <f t="shared" si="3"/>
        <v/>
      </c>
      <c r="O100" s="14"/>
      <c r="P100" s="14" t="str">
        <f t="shared" si="4"/>
        <v/>
      </c>
      <c r="Q100" s="15"/>
      <c r="R100" s="15" t="str">
        <f t="shared" si="5"/>
        <v/>
      </c>
      <c r="S100" s="4"/>
      <c r="T100" s="4"/>
      <c r="U100" s="4"/>
      <c r="V100" s="4"/>
      <c r="W100" s="4"/>
    </row>
    <row r="101" ht="15.75" customHeight="1">
      <c r="A101" s="4"/>
      <c r="B101" s="4"/>
      <c r="C101" s="4"/>
      <c r="D101" s="4"/>
      <c r="E101" s="4"/>
      <c r="F101" s="4"/>
      <c r="G101" s="4"/>
      <c r="H101" s="6"/>
      <c r="I101" s="38"/>
      <c r="J101" s="12"/>
      <c r="K101" s="42"/>
      <c r="L101" s="10"/>
      <c r="M101" s="11" t="str">
        <f t="shared" si="2"/>
        <v/>
      </c>
      <c r="N101" s="12" t="str">
        <f t="shared" si="3"/>
        <v/>
      </c>
      <c r="O101" s="14"/>
      <c r="P101" s="14" t="str">
        <f t="shared" si="4"/>
        <v/>
      </c>
      <c r="Q101" s="15"/>
      <c r="R101" s="15" t="str">
        <f t="shared" si="5"/>
        <v/>
      </c>
      <c r="S101" s="4"/>
      <c r="T101" s="4"/>
      <c r="U101" s="4"/>
      <c r="V101" s="4"/>
      <c r="W101" s="4"/>
    </row>
    <row r="102" ht="15.75" customHeight="1">
      <c r="A102" s="4"/>
      <c r="B102" s="4"/>
      <c r="C102" s="4"/>
      <c r="D102" s="4"/>
      <c r="E102" s="4"/>
      <c r="F102" s="4"/>
      <c r="G102" s="4"/>
      <c r="H102" s="6"/>
      <c r="I102" s="38"/>
      <c r="J102" s="12"/>
      <c r="K102" s="42"/>
      <c r="L102" s="10"/>
      <c r="M102" s="11" t="str">
        <f t="shared" si="2"/>
        <v/>
      </c>
      <c r="N102" s="12" t="str">
        <f t="shared" si="3"/>
        <v/>
      </c>
      <c r="O102" s="14"/>
      <c r="P102" s="14" t="str">
        <f t="shared" si="4"/>
        <v/>
      </c>
      <c r="Q102" s="15"/>
      <c r="R102" s="15" t="str">
        <f t="shared" si="5"/>
        <v/>
      </c>
      <c r="S102" s="4"/>
      <c r="T102" s="4"/>
      <c r="U102" s="4"/>
      <c r="V102" s="4"/>
      <c r="W102" s="4"/>
    </row>
    <row r="103" ht="15.75" customHeight="1">
      <c r="A103" s="4"/>
      <c r="B103" s="4"/>
      <c r="C103" s="4"/>
      <c r="D103" s="4"/>
      <c r="E103" s="4"/>
      <c r="F103" s="4"/>
      <c r="G103" s="4"/>
      <c r="H103" s="6"/>
      <c r="I103" s="38"/>
      <c r="J103" s="12"/>
      <c r="K103" s="42"/>
      <c r="L103" s="10"/>
      <c r="M103" s="11" t="str">
        <f t="shared" si="2"/>
        <v/>
      </c>
      <c r="N103" s="12" t="str">
        <f t="shared" si="3"/>
        <v/>
      </c>
      <c r="O103" s="14"/>
      <c r="P103" s="14" t="str">
        <f t="shared" si="4"/>
        <v/>
      </c>
      <c r="Q103" s="15"/>
      <c r="R103" s="15" t="str">
        <f t="shared" si="5"/>
        <v/>
      </c>
      <c r="S103" s="4"/>
      <c r="T103" s="4"/>
      <c r="U103" s="4"/>
      <c r="V103" s="4"/>
      <c r="W103" s="4"/>
    </row>
    <row r="104" ht="15.75" customHeight="1">
      <c r="A104" s="4"/>
      <c r="B104" s="4"/>
      <c r="C104" s="4"/>
      <c r="D104" s="4"/>
      <c r="E104" s="4"/>
      <c r="F104" s="4"/>
      <c r="G104" s="4"/>
      <c r="H104" s="6"/>
      <c r="I104" s="38"/>
      <c r="J104" s="12"/>
      <c r="K104" s="42"/>
      <c r="L104" s="10"/>
      <c r="M104" s="11" t="str">
        <f t="shared" si="2"/>
        <v/>
      </c>
      <c r="N104" s="12" t="str">
        <f t="shared" si="3"/>
        <v/>
      </c>
      <c r="O104" s="14"/>
      <c r="P104" s="14" t="str">
        <f t="shared" si="4"/>
        <v/>
      </c>
      <c r="Q104" s="15"/>
      <c r="R104" s="15" t="str">
        <f t="shared" si="5"/>
        <v/>
      </c>
      <c r="S104" s="4"/>
      <c r="T104" s="4"/>
      <c r="U104" s="4"/>
      <c r="V104" s="4"/>
      <c r="W104" s="4"/>
    </row>
    <row r="105" ht="15.75" customHeight="1">
      <c r="A105" s="4"/>
      <c r="B105" s="4"/>
      <c r="C105" s="4"/>
      <c r="D105" s="4"/>
      <c r="E105" s="4"/>
      <c r="F105" s="4"/>
      <c r="G105" s="4"/>
      <c r="H105" s="6"/>
      <c r="I105" s="38"/>
      <c r="J105" s="12"/>
      <c r="K105" s="42"/>
      <c r="L105" s="10"/>
      <c r="M105" s="11" t="str">
        <f t="shared" si="2"/>
        <v/>
      </c>
      <c r="N105" s="12" t="str">
        <f t="shared" si="3"/>
        <v/>
      </c>
      <c r="O105" s="14"/>
      <c r="P105" s="14" t="str">
        <f t="shared" si="4"/>
        <v/>
      </c>
      <c r="Q105" s="15"/>
      <c r="R105" s="15" t="str">
        <f t="shared" si="5"/>
        <v/>
      </c>
      <c r="S105" s="4"/>
      <c r="T105" s="4"/>
      <c r="U105" s="4"/>
      <c r="V105" s="4"/>
      <c r="W105" s="4"/>
    </row>
    <row r="106" ht="15.75" customHeight="1">
      <c r="A106" s="4"/>
      <c r="B106" s="4"/>
      <c r="C106" s="4"/>
      <c r="D106" s="4"/>
      <c r="E106" s="4"/>
      <c r="F106" s="4"/>
      <c r="G106" s="4"/>
      <c r="H106" s="6"/>
      <c r="I106" s="38"/>
      <c r="J106" s="12"/>
      <c r="K106" s="42"/>
      <c r="L106" s="10"/>
      <c r="M106" s="11" t="str">
        <f t="shared" si="2"/>
        <v/>
      </c>
      <c r="N106" s="12" t="str">
        <f t="shared" si="3"/>
        <v/>
      </c>
      <c r="O106" s="14"/>
      <c r="P106" s="14" t="str">
        <f t="shared" si="4"/>
        <v/>
      </c>
      <c r="Q106" s="15"/>
      <c r="R106" s="15" t="str">
        <f t="shared" si="5"/>
        <v/>
      </c>
      <c r="S106" s="4"/>
      <c r="T106" s="4"/>
      <c r="U106" s="4"/>
      <c r="V106" s="4"/>
      <c r="W106" s="4"/>
    </row>
    <row r="107" ht="15.75" customHeight="1">
      <c r="A107" s="4"/>
      <c r="B107" s="4"/>
      <c r="C107" s="4"/>
      <c r="D107" s="4"/>
      <c r="E107" s="4"/>
      <c r="F107" s="4"/>
      <c r="G107" s="4"/>
      <c r="H107" s="6"/>
      <c r="I107" s="38"/>
      <c r="J107" s="12"/>
      <c r="K107" s="42"/>
      <c r="L107" s="10"/>
      <c r="M107" s="11" t="str">
        <f t="shared" si="2"/>
        <v/>
      </c>
      <c r="N107" s="12" t="str">
        <f t="shared" si="3"/>
        <v/>
      </c>
      <c r="O107" s="14"/>
      <c r="P107" s="14" t="str">
        <f t="shared" si="4"/>
        <v/>
      </c>
      <c r="Q107" s="15"/>
      <c r="R107" s="15" t="str">
        <f t="shared" si="5"/>
        <v/>
      </c>
      <c r="S107" s="4"/>
      <c r="T107" s="4"/>
      <c r="U107" s="4"/>
      <c r="V107" s="4"/>
      <c r="W107" s="4"/>
    </row>
    <row r="108" ht="15.75" customHeight="1">
      <c r="A108" s="4"/>
      <c r="B108" s="4"/>
      <c r="C108" s="4"/>
      <c r="D108" s="4"/>
      <c r="E108" s="4"/>
      <c r="F108" s="4"/>
      <c r="G108" s="4"/>
      <c r="H108" s="6"/>
      <c r="I108" s="38"/>
      <c r="J108" s="12"/>
      <c r="K108" s="42"/>
      <c r="L108" s="10"/>
      <c r="M108" s="11" t="str">
        <f t="shared" si="2"/>
        <v/>
      </c>
      <c r="N108" s="12" t="str">
        <f t="shared" si="3"/>
        <v/>
      </c>
      <c r="O108" s="14"/>
      <c r="P108" s="14" t="str">
        <f t="shared" si="4"/>
        <v/>
      </c>
      <c r="Q108" s="15"/>
      <c r="R108" s="15" t="str">
        <f t="shared" si="5"/>
        <v/>
      </c>
      <c r="S108" s="4"/>
      <c r="T108" s="4"/>
      <c r="U108" s="4"/>
      <c r="V108" s="4"/>
      <c r="W108" s="4"/>
    </row>
    <row r="109" ht="15.75" customHeight="1">
      <c r="A109" s="4"/>
      <c r="B109" s="4"/>
      <c r="C109" s="4"/>
      <c r="D109" s="4"/>
      <c r="E109" s="4"/>
      <c r="F109" s="4"/>
      <c r="G109" s="4"/>
      <c r="H109" s="6"/>
      <c r="I109" s="38"/>
      <c r="J109" s="12"/>
      <c r="K109" s="42"/>
      <c r="L109" s="10"/>
      <c r="M109" s="11" t="str">
        <f t="shared" si="2"/>
        <v/>
      </c>
      <c r="N109" s="12" t="str">
        <f t="shared" si="3"/>
        <v/>
      </c>
      <c r="O109" s="14"/>
      <c r="P109" s="14" t="str">
        <f t="shared" si="4"/>
        <v/>
      </c>
      <c r="Q109" s="15"/>
      <c r="R109" s="15" t="str">
        <f t="shared" si="5"/>
        <v/>
      </c>
      <c r="S109" s="4"/>
      <c r="T109" s="4"/>
      <c r="U109" s="4"/>
      <c r="V109" s="4"/>
      <c r="W109" s="4"/>
    </row>
    <row r="110" ht="15.75" customHeight="1">
      <c r="A110" s="4"/>
      <c r="B110" s="4"/>
      <c r="C110" s="4"/>
      <c r="D110" s="4"/>
      <c r="E110" s="4"/>
      <c r="F110" s="4"/>
      <c r="G110" s="4"/>
      <c r="H110" s="6"/>
      <c r="I110" s="38"/>
      <c r="J110" s="12"/>
      <c r="K110" s="42"/>
      <c r="L110" s="10"/>
      <c r="M110" s="11" t="str">
        <f t="shared" si="2"/>
        <v/>
      </c>
      <c r="N110" s="12" t="str">
        <f t="shared" si="3"/>
        <v/>
      </c>
      <c r="O110" s="14"/>
      <c r="P110" s="14" t="str">
        <f t="shared" si="4"/>
        <v/>
      </c>
      <c r="Q110" s="15"/>
      <c r="R110" s="15" t="str">
        <f t="shared" si="5"/>
        <v/>
      </c>
      <c r="S110" s="4"/>
      <c r="T110" s="4"/>
      <c r="U110" s="4"/>
      <c r="V110" s="4"/>
      <c r="W110" s="4"/>
    </row>
    <row r="111" ht="15.75" customHeight="1">
      <c r="A111" s="4"/>
      <c r="B111" s="4"/>
      <c r="C111" s="4"/>
      <c r="D111" s="4"/>
      <c r="E111" s="4"/>
      <c r="F111" s="4"/>
      <c r="G111" s="4"/>
      <c r="H111" s="6"/>
      <c r="I111" s="38"/>
      <c r="J111" s="12"/>
      <c r="K111" s="42"/>
      <c r="L111" s="10"/>
      <c r="M111" s="11" t="str">
        <f t="shared" si="2"/>
        <v/>
      </c>
      <c r="N111" s="12" t="str">
        <f t="shared" si="3"/>
        <v/>
      </c>
      <c r="O111" s="14"/>
      <c r="P111" s="14" t="str">
        <f t="shared" si="4"/>
        <v/>
      </c>
      <c r="Q111" s="15"/>
      <c r="R111" s="15" t="str">
        <f t="shared" si="5"/>
        <v/>
      </c>
      <c r="S111" s="4"/>
      <c r="T111" s="4"/>
      <c r="U111" s="4"/>
      <c r="V111" s="4"/>
      <c r="W111" s="4"/>
    </row>
    <row r="112" ht="15.75" customHeight="1">
      <c r="A112" s="4"/>
      <c r="B112" s="4"/>
      <c r="C112" s="4"/>
      <c r="D112" s="4"/>
      <c r="E112" s="4"/>
      <c r="F112" s="4"/>
      <c r="G112" s="4"/>
      <c r="H112" s="6"/>
      <c r="I112" s="38"/>
      <c r="J112" s="12"/>
      <c r="K112" s="42"/>
      <c r="L112" s="10"/>
      <c r="M112" s="11" t="str">
        <f t="shared" si="2"/>
        <v/>
      </c>
      <c r="N112" s="12" t="str">
        <f t="shared" si="3"/>
        <v/>
      </c>
      <c r="O112" s="14"/>
      <c r="P112" s="14" t="str">
        <f t="shared" si="4"/>
        <v/>
      </c>
      <c r="Q112" s="15"/>
      <c r="R112" s="15" t="str">
        <f t="shared" si="5"/>
        <v/>
      </c>
      <c r="S112" s="4"/>
      <c r="T112" s="4"/>
      <c r="U112" s="4"/>
      <c r="V112" s="4"/>
      <c r="W112" s="4"/>
    </row>
    <row r="113" ht="15.75" customHeight="1">
      <c r="A113" s="4"/>
      <c r="B113" s="4"/>
      <c r="C113" s="4"/>
      <c r="D113" s="4"/>
      <c r="E113" s="4"/>
      <c r="F113" s="4"/>
      <c r="G113" s="4"/>
      <c r="H113" s="6"/>
      <c r="I113" s="38"/>
      <c r="J113" s="12"/>
      <c r="K113" s="42"/>
      <c r="L113" s="10"/>
      <c r="M113" s="11" t="str">
        <f t="shared" si="2"/>
        <v/>
      </c>
      <c r="N113" s="12" t="str">
        <f t="shared" si="3"/>
        <v/>
      </c>
      <c r="O113" s="14"/>
      <c r="P113" s="14" t="str">
        <f t="shared" si="4"/>
        <v/>
      </c>
      <c r="Q113" s="15"/>
      <c r="R113" s="15" t="str">
        <f t="shared" si="5"/>
        <v/>
      </c>
      <c r="S113" s="4"/>
      <c r="T113" s="4"/>
      <c r="U113" s="4"/>
      <c r="V113" s="4"/>
      <c r="W113" s="4"/>
    </row>
    <row r="114" ht="15.75" customHeight="1">
      <c r="A114" s="4"/>
      <c r="B114" s="4"/>
      <c r="C114" s="4"/>
      <c r="D114" s="4"/>
      <c r="E114" s="4"/>
      <c r="F114" s="4"/>
      <c r="G114" s="4"/>
      <c r="H114" s="6"/>
      <c r="I114" s="38"/>
      <c r="J114" s="12"/>
      <c r="K114" s="42"/>
      <c r="L114" s="10"/>
      <c r="M114" s="11" t="str">
        <f t="shared" si="2"/>
        <v/>
      </c>
      <c r="N114" s="12" t="str">
        <f t="shared" si="3"/>
        <v/>
      </c>
      <c r="O114" s="14"/>
      <c r="P114" s="14" t="str">
        <f t="shared" si="4"/>
        <v/>
      </c>
      <c r="Q114" s="15"/>
      <c r="R114" s="15" t="str">
        <f t="shared" si="5"/>
        <v/>
      </c>
      <c r="S114" s="4"/>
      <c r="T114" s="4"/>
      <c r="U114" s="4"/>
      <c r="V114" s="4"/>
      <c r="W114" s="4"/>
    </row>
    <row r="115" ht="15.75" customHeight="1">
      <c r="A115" s="4"/>
      <c r="B115" s="4"/>
      <c r="C115" s="4"/>
      <c r="D115" s="4"/>
      <c r="E115" s="4"/>
      <c r="F115" s="4"/>
      <c r="G115" s="4"/>
      <c r="H115" s="6"/>
      <c r="I115" s="38"/>
      <c r="J115" s="12"/>
      <c r="K115" s="42"/>
      <c r="L115" s="10"/>
      <c r="M115" s="11" t="str">
        <f t="shared" si="2"/>
        <v/>
      </c>
      <c r="N115" s="12" t="str">
        <f t="shared" si="3"/>
        <v/>
      </c>
      <c r="O115" s="14"/>
      <c r="P115" s="14" t="str">
        <f t="shared" si="4"/>
        <v/>
      </c>
      <c r="Q115" s="15"/>
      <c r="R115" s="15" t="str">
        <f t="shared" si="5"/>
        <v/>
      </c>
      <c r="S115" s="4"/>
      <c r="T115" s="4"/>
      <c r="U115" s="4"/>
      <c r="V115" s="4"/>
      <c r="W115" s="4"/>
    </row>
    <row r="116" ht="15.75" customHeight="1">
      <c r="A116" s="4"/>
      <c r="B116" s="4"/>
      <c r="C116" s="4"/>
      <c r="D116" s="4"/>
      <c r="E116" s="4"/>
      <c r="F116" s="4"/>
      <c r="G116" s="4"/>
      <c r="H116" s="6"/>
      <c r="I116" s="38"/>
      <c r="J116" s="12"/>
      <c r="K116" s="42"/>
      <c r="L116" s="10"/>
      <c r="M116" s="11" t="str">
        <f t="shared" si="2"/>
        <v/>
      </c>
      <c r="N116" s="12" t="str">
        <f t="shared" si="3"/>
        <v/>
      </c>
      <c r="O116" s="14"/>
      <c r="P116" s="14" t="str">
        <f t="shared" si="4"/>
        <v/>
      </c>
      <c r="Q116" s="15"/>
      <c r="R116" s="15" t="str">
        <f t="shared" si="5"/>
        <v/>
      </c>
      <c r="S116" s="4"/>
      <c r="T116" s="4"/>
      <c r="U116" s="4"/>
      <c r="V116" s="4"/>
      <c r="W116" s="4"/>
    </row>
    <row r="117" ht="15.75" customHeight="1">
      <c r="A117" s="4"/>
      <c r="B117" s="4"/>
      <c r="C117" s="4"/>
      <c r="D117" s="4"/>
      <c r="E117" s="4"/>
      <c r="F117" s="4"/>
      <c r="G117" s="4"/>
      <c r="H117" s="6"/>
      <c r="I117" s="38"/>
      <c r="J117" s="12"/>
      <c r="K117" s="42"/>
      <c r="L117" s="10"/>
      <c r="M117" s="11" t="str">
        <f t="shared" si="2"/>
        <v/>
      </c>
      <c r="N117" s="12" t="str">
        <f t="shared" si="3"/>
        <v/>
      </c>
      <c r="O117" s="14"/>
      <c r="P117" s="14" t="str">
        <f t="shared" si="4"/>
        <v/>
      </c>
      <c r="Q117" s="15"/>
      <c r="R117" s="15" t="str">
        <f t="shared" si="5"/>
        <v/>
      </c>
      <c r="S117" s="4"/>
      <c r="T117" s="4"/>
      <c r="U117" s="4"/>
      <c r="V117" s="4"/>
      <c r="W117" s="4"/>
    </row>
    <row r="118" ht="15.75" customHeight="1">
      <c r="A118" s="4"/>
      <c r="B118" s="4"/>
      <c r="C118" s="4"/>
      <c r="D118" s="4"/>
      <c r="E118" s="4"/>
      <c r="F118" s="4"/>
      <c r="G118" s="4"/>
      <c r="H118" s="6"/>
      <c r="I118" s="38"/>
      <c r="J118" s="12"/>
      <c r="K118" s="42"/>
      <c r="L118" s="10"/>
      <c r="M118" s="11" t="str">
        <f t="shared" si="2"/>
        <v/>
      </c>
      <c r="N118" s="12" t="str">
        <f t="shared" si="3"/>
        <v/>
      </c>
      <c r="O118" s="14"/>
      <c r="P118" s="14" t="str">
        <f t="shared" si="4"/>
        <v/>
      </c>
      <c r="Q118" s="15"/>
      <c r="R118" s="15" t="str">
        <f t="shared" si="5"/>
        <v/>
      </c>
      <c r="S118" s="4"/>
      <c r="T118" s="4"/>
      <c r="U118" s="4"/>
      <c r="V118" s="4"/>
      <c r="W118" s="4"/>
    </row>
    <row r="119" ht="15.75" customHeight="1">
      <c r="A119" s="4"/>
      <c r="B119" s="4"/>
      <c r="C119" s="4"/>
      <c r="D119" s="4"/>
      <c r="E119" s="4"/>
      <c r="F119" s="4"/>
      <c r="G119" s="4"/>
      <c r="H119" s="6"/>
      <c r="I119" s="38"/>
      <c r="J119" s="12"/>
      <c r="K119" s="42"/>
      <c r="L119" s="10"/>
      <c r="M119" s="11" t="str">
        <f t="shared" si="2"/>
        <v/>
      </c>
      <c r="N119" s="12" t="str">
        <f t="shared" si="3"/>
        <v/>
      </c>
      <c r="O119" s="14"/>
      <c r="P119" s="14" t="str">
        <f t="shared" si="4"/>
        <v/>
      </c>
      <c r="Q119" s="15"/>
      <c r="R119" s="15" t="str">
        <f t="shared" si="5"/>
        <v/>
      </c>
      <c r="S119" s="4"/>
      <c r="T119" s="4"/>
      <c r="U119" s="4"/>
      <c r="V119" s="4"/>
      <c r="W119" s="4"/>
    </row>
    <row r="120" ht="15.75" customHeight="1">
      <c r="A120" s="4"/>
      <c r="B120" s="4"/>
      <c r="C120" s="4"/>
      <c r="D120" s="4"/>
      <c r="E120" s="4"/>
      <c r="F120" s="4"/>
      <c r="G120" s="4"/>
      <c r="H120" s="6"/>
      <c r="I120" s="38"/>
      <c r="J120" s="12"/>
      <c r="K120" s="42"/>
      <c r="L120" s="10"/>
      <c r="M120" s="11" t="str">
        <f t="shared" si="2"/>
        <v/>
      </c>
      <c r="N120" s="12" t="str">
        <f t="shared" si="3"/>
        <v/>
      </c>
      <c r="O120" s="14"/>
      <c r="P120" s="14" t="str">
        <f t="shared" si="4"/>
        <v/>
      </c>
      <c r="Q120" s="15"/>
      <c r="R120" s="15" t="str">
        <f t="shared" si="5"/>
        <v/>
      </c>
      <c r="S120" s="4"/>
      <c r="T120" s="4"/>
      <c r="U120" s="4"/>
      <c r="V120" s="4"/>
      <c r="W120" s="4"/>
    </row>
    <row r="121" ht="15.75" customHeight="1">
      <c r="A121" s="4"/>
      <c r="B121" s="4"/>
      <c r="C121" s="4"/>
      <c r="D121" s="4"/>
      <c r="E121" s="4"/>
      <c r="F121" s="4"/>
      <c r="G121" s="4"/>
      <c r="H121" s="6"/>
      <c r="I121" s="38"/>
      <c r="J121" s="12"/>
      <c r="K121" s="42"/>
      <c r="L121" s="10"/>
      <c r="M121" s="11" t="str">
        <f t="shared" si="2"/>
        <v/>
      </c>
      <c r="N121" s="12" t="str">
        <f t="shared" si="3"/>
        <v/>
      </c>
      <c r="O121" s="14"/>
      <c r="P121" s="14" t="str">
        <f t="shared" si="4"/>
        <v/>
      </c>
      <c r="Q121" s="15"/>
      <c r="R121" s="15" t="str">
        <f t="shared" si="5"/>
        <v/>
      </c>
      <c r="S121" s="4"/>
      <c r="T121" s="4"/>
      <c r="U121" s="4"/>
      <c r="V121" s="4"/>
      <c r="W121" s="4"/>
    </row>
    <row r="122" ht="15.75" customHeight="1">
      <c r="A122" s="4"/>
      <c r="B122" s="4"/>
      <c r="C122" s="4"/>
      <c r="D122" s="4"/>
      <c r="E122" s="4"/>
      <c r="F122" s="4"/>
      <c r="G122" s="4"/>
      <c r="H122" s="6"/>
      <c r="I122" s="38"/>
      <c r="J122" s="12"/>
      <c r="K122" s="42"/>
      <c r="L122" s="10"/>
      <c r="M122" s="11" t="str">
        <f t="shared" si="2"/>
        <v/>
      </c>
      <c r="N122" s="12" t="str">
        <f t="shared" si="3"/>
        <v/>
      </c>
      <c r="O122" s="14"/>
      <c r="P122" s="14" t="str">
        <f t="shared" si="4"/>
        <v/>
      </c>
      <c r="Q122" s="15"/>
      <c r="R122" s="15" t="str">
        <f t="shared" si="5"/>
        <v/>
      </c>
      <c r="S122" s="4"/>
      <c r="T122" s="4"/>
      <c r="U122" s="4"/>
      <c r="V122" s="4"/>
      <c r="W122" s="4"/>
    </row>
    <row r="123" ht="15.75" customHeight="1">
      <c r="A123" s="4"/>
      <c r="B123" s="4"/>
      <c r="C123" s="4"/>
      <c r="D123" s="4"/>
      <c r="E123" s="4"/>
      <c r="F123" s="4"/>
      <c r="G123" s="4"/>
      <c r="H123" s="6"/>
      <c r="I123" s="38"/>
      <c r="J123" s="12"/>
      <c r="K123" s="42"/>
      <c r="L123" s="10"/>
      <c r="M123" s="11" t="str">
        <f t="shared" si="2"/>
        <v/>
      </c>
      <c r="N123" s="12" t="str">
        <f t="shared" si="3"/>
        <v/>
      </c>
      <c r="O123" s="14"/>
      <c r="P123" s="14" t="str">
        <f t="shared" si="4"/>
        <v/>
      </c>
      <c r="Q123" s="15"/>
      <c r="R123" s="15" t="str">
        <f t="shared" si="5"/>
        <v/>
      </c>
      <c r="S123" s="4"/>
      <c r="T123" s="4"/>
      <c r="U123" s="4"/>
      <c r="V123" s="4"/>
      <c r="W123" s="4"/>
    </row>
    <row r="124" ht="15.75" customHeight="1">
      <c r="A124" s="4"/>
      <c r="B124" s="4"/>
      <c r="C124" s="4"/>
      <c r="D124" s="4"/>
      <c r="E124" s="4"/>
      <c r="F124" s="4"/>
      <c r="G124" s="4"/>
      <c r="H124" s="6"/>
      <c r="I124" s="38"/>
      <c r="J124" s="12"/>
      <c r="K124" s="42"/>
      <c r="L124" s="10"/>
      <c r="M124" s="11" t="str">
        <f t="shared" si="2"/>
        <v/>
      </c>
      <c r="N124" s="12" t="str">
        <f t="shared" si="3"/>
        <v/>
      </c>
      <c r="O124" s="14"/>
      <c r="P124" s="14" t="str">
        <f t="shared" si="4"/>
        <v/>
      </c>
      <c r="Q124" s="15"/>
      <c r="R124" s="15" t="str">
        <f t="shared" si="5"/>
        <v/>
      </c>
      <c r="S124" s="4"/>
      <c r="T124" s="4"/>
      <c r="U124" s="4"/>
      <c r="V124" s="4"/>
      <c r="W124" s="4"/>
    </row>
    <row r="125" ht="15.75" customHeight="1">
      <c r="A125" s="4"/>
      <c r="B125" s="4"/>
      <c r="C125" s="4"/>
      <c r="D125" s="4"/>
      <c r="E125" s="4"/>
      <c r="F125" s="4"/>
      <c r="G125" s="4"/>
      <c r="H125" s="6"/>
      <c r="I125" s="38"/>
      <c r="J125" s="12"/>
      <c r="K125" s="42"/>
      <c r="L125" s="10"/>
      <c r="M125" s="11" t="str">
        <f t="shared" si="2"/>
        <v/>
      </c>
      <c r="N125" s="12" t="str">
        <f t="shared" si="3"/>
        <v/>
      </c>
      <c r="O125" s="14"/>
      <c r="P125" s="14" t="str">
        <f t="shared" si="4"/>
        <v/>
      </c>
      <c r="Q125" s="15"/>
      <c r="R125" s="15" t="str">
        <f t="shared" si="5"/>
        <v/>
      </c>
      <c r="S125" s="4"/>
      <c r="T125" s="4"/>
      <c r="U125" s="4"/>
      <c r="V125" s="4"/>
      <c r="W125" s="4"/>
    </row>
    <row r="126" ht="15.75" customHeight="1">
      <c r="A126" s="4"/>
      <c r="B126" s="4"/>
      <c r="C126" s="4"/>
      <c r="D126" s="4"/>
      <c r="E126" s="4"/>
      <c r="F126" s="4"/>
      <c r="G126" s="4"/>
      <c r="H126" s="6"/>
      <c r="I126" s="38"/>
      <c r="J126" s="12"/>
      <c r="K126" s="42"/>
      <c r="L126" s="10"/>
      <c r="M126" s="11" t="str">
        <f t="shared" si="2"/>
        <v/>
      </c>
      <c r="N126" s="12" t="str">
        <f t="shared" si="3"/>
        <v/>
      </c>
      <c r="O126" s="14"/>
      <c r="P126" s="14" t="str">
        <f t="shared" si="4"/>
        <v/>
      </c>
      <c r="Q126" s="15"/>
      <c r="R126" s="15" t="str">
        <f t="shared" si="5"/>
        <v/>
      </c>
      <c r="S126" s="4"/>
      <c r="T126" s="4"/>
      <c r="U126" s="4"/>
      <c r="V126" s="4"/>
      <c r="W126" s="4"/>
    </row>
    <row r="127" ht="15.75" customHeight="1">
      <c r="A127" s="4"/>
      <c r="B127" s="4"/>
      <c r="C127" s="4"/>
      <c r="D127" s="4"/>
      <c r="E127" s="4"/>
      <c r="F127" s="4"/>
      <c r="G127" s="4"/>
      <c r="H127" s="6"/>
      <c r="I127" s="38"/>
      <c r="J127" s="12"/>
      <c r="K127" s="42"/>
      <c r="L127" s="10"/>
      <c r="M127" s="11" t="str">
        <f t="shared" si="2"/>
        <v/>
      </c>
      <c r="N127" s="12" t="str">
        <f t="shared" si="3"/>
        <v/>
      </c>
      <c r="O127" s="14"/>
      <c r="P127" s="14" t="str">
        <f t="shared" si="4"/>
        <v/>
      </c>
      <c r="Q127" s="15"/>
      <c r="R127" s="15" t="str">
        <f t="shared" si="5"/>
        <v/>
      </c>
      <c r="S127" s="4"/>
      <c r="T127" s="4"/>
      <c r="U127" s="4"/>
      <c r="V127" s="4"/>
      <c r="W127" s="4"/>
    </row>
    <row r="128" ht="15.75" customHeight="1">
      <c r="A128" s="4"/>
      <c r="B128" s="4"/>
      <c r="C128" s="4"/>
      <c r="D128" s="4"/>
      <c r="E128" s="4"/>
      <c r="F128" s="4"/>
      <c r="G128" s="4"/>
      <c r="H128" s="6"/>
      <c r="I128" s="38"/>
      <c r="J128" s="12"/>
      <c r="K128" s="42"/>
      <c r="L128" s="10"/>
      <c r="M128" s="11" t="str">
        <f t="shared" si="2"/>
        <v/>
      </c>
      <c r="N128" s="12" t="str">
        <f t="shared" si="3"/>
        <v/>
      </c>
      <c r="O128" s="14"/>
      <c r="P128" s="14" t="str">
        <f t="shared" si="4"/>
        <v/>
      </c>
      <c r="Q128" s="15"/>
      <c r="R128" s="15" t="str">
        <f t="shared" si="5"/>
        <v/>
      </c>
      <c r="S128" s="4"/>
      <c r="T128" s="4"/>
      <c r="U128" s="4"/>
      <c r="V128" s="4"/>
      <c r="W128" s="4"/>
    </row>
    <row r="129" ht="15.75" customHeight="1">
      <c r="A129" s="4"/>
      <c r="B129" s="4"/>
      <c r="C129" s="4"/>
      <c r="D129" s="4"/>
      <c r="E129" s="4"/>
      <c r="F129" s="4"/>
      <c r="G129" s="4"/>
      <c r="H129" s="6"/>
      <c r="I129" s="38"/>
      <c r="J129" s="12"/>
      <c r="K129" s="42"/>
      <c r="L129" s="10"/>
      <c r="M129" s="11" t="str">
        <f t="shared" si="2"/>
        <v/>
      </c>
      <c r="N129" s="12" t="str">
        <f t="shared" si="3"/>
        <v/>
      </c>
      <c r="O129" s="14"/>
      <c r="P129" s="14" t="str">
        <f t="shared" si="4"/>
        <v/>
      </c>
      <c r="Q129" s="15"/>
      <c r="R129" s="15" t="str">
        <f t="shared" si="5"/>
        <v/>
      </c>
      <c r="S129" s="4"/>
      <c r="T129" s="4"/>
      <c r="U129" s="4"/>
      <c r="V129" s="4"/>
      <c r="W129" s="4"/>
    </row>
    <row r="130" ht="15.75" customHeight="1">
      <c r="A130" s="4"/>
      <c r="B130" s="4"/>
      <c r="C130" s="4"/>
      <c r="D130" s="4"/>
      <c r="E130" s="4"/>
      <c r="F130" s="4"/>
      <c r="G130" s="4"/>
      <c r="H130" s="6"/>
      <c r="I130" s="38"/>
      <c r="J130" s="12"/>
      <c r="K130" s="42"/>
      <c r="L130" s="10"/>
      <c r="M130" s="11" t="str">
        <f t="shared" si="2"/>
        <v/>
      </c>
      <c r="N130" s="12" t="str">
        <f t="shared" si="3"/>
        <v/>
      </c>
      <c r="O130" s="14"/>
      <c r="P130" s="14" t="str">
        <f t="shared" si="4"/>
        <v/>
      </c>
      <c r="Q130" s="15"/>
      <c r="R130" s="15" t="str">
        <f t="shared" si="5"/>
        <v/>
      </c>
      <c r="S130" s="4"/>
      <c r="T130" s="4"/>
      <c r="U130" s="4"/>
      <c r="V130" s="4"/>
      <c r="W130" s="4"/>
    </row>
    <row r="131" ht="15.75" customHeight="1">
      <c r="A131" s="4"/>
      <c r="B131" s="4"/>
      <c r="C131" s="4"/>
      <c r="D131" s="4"/>
      <c r="E131" s="4"/>
      <c r="F131" s="4"/>
      <c r="G131" s="4"/>
      <c r="H131" s="6"/>
      <c r="I131" s="38"/>
      <c r="J131" s="12"/>
      <c r="K131" s="42"/>
      <c r="L131" s="10"/>
      <c r="M131" s="11" t="str">
        <f t="shared" si="2"/>
        <v/>
      </c>
      <c r="N131" s="12" t="str">
        <f t="shared" si="3"/>
        <v/>
      </c>
      <c r="O131" s="14"/>
      <c r="P131" s="14" t="str">
        <f t="shared" si="4"/>
        <v/>
      </c>
      <c r="Q131" s="15"/>
      <c r="R131" s="15" t="str">
        <f t="shared" si="5"/>
        <v/>
      </c>
      <c r="S131" s="4"/>
      <c r="T131" s="4"/>
      <c r="U131" s="4"/>
      <c r="V131" s="4"/>
      <c r="W131" s="4"/>
    </row>
    <row r="132" ht="15.75" customHeight="1">
      <c r="A132" s="4"/>
      <c r="B132" s="4"/>
      <c r="C132" s="4"/>
      <c r="D132" s="4"/>
      <c r="E132" s="4"/>
      <c r="F132" s="4"/>
      <c r="G132" s="4"/>
      <c r="H132" s="6"/>
      <c r="I132" s="38"/>
      <c r="J132" s="12"/>
      <c r="K132" s="42"/>
      <c r="L132" s="10"/>
      <c r="M132" s="11" t="str">
        <f t="shared" si="2"/>
        <v/>
      </c>
      <c r="N132" s="12" t="str">
        <f t="shared" si="3"/>
        <v/>
      </c>
      <c r="O132" s="14"/>
      <c r="P132" s="14" t="str">
        <f t="shared" si="4"/>
        <v/>
      </c>
      <c r="Q132" s="15"/>
      <c r="R132" s="15" t="str">
        <f t="shared" si="5"/>
        <v/>
      </c>
      <c r="S132" s="4"/>
      <c r="T132" s="4"/>
      <c r="U132" s="4"/>
      <c r="V132" s="4"/>
      <c r="W132" s="4"/>
    </row>
    <row r="133" ht="15.75" customHeight="1">
      <c r="A133" s="4"/>
      <c r="B133" s="4"/>
      <c r="C133" s="4"/>
      <c r="D133" s="4"/>
      <c r="E133" s="4"/>
      <c r="F133" s="4"/>
      <c r="G133" s="4"/>
      <c r="H133" s="6"/>
      <c r="I133" s="38"/>
      <c r="J133" s="12"/>
      <c r="K133" s="42"/>
      <c r="L133" s="10"/>
      <c r="M133" s="11" t="str">
        <f t="shared" si="2"/>
        <v/>
      </c>
      <c r="N133" s="12" t="str">
        <f t="shared" si="3"/>
        <v/>
      </c>
      <c r="O133" s="14"/>
      <c r="P133" s="14" t="str">
        <f t="shared" si="4"/>
        <v/>
      </c>
      <c r="Q133" s="15"/>
      <c r="R133" s="15" t="str">
        <f t="shared" si="5"/>
        <v/>
      </c>
      <c r="S133" s="4"/>
      <c r="T133" s="4"/>
      <c r="U133" s="4"/>
      <c r="V133" s="4"/>
      <c r="W133" s="4"/>
    </row>
    <row r="134" ht="15.75" customHeight="1">
      <c r="A134" s="4"/>
      <c r="B134" s="4"/>
      <c r="C134" s="4"/>
      <c r="D134" s="4"/>
      <c r="E134" s="4"/>
      <c r="F134" s="4"/>
      <c r="G134" s="4"/>
      <c r="H134" s="6"/>
      <c r="I134" s="38"/>
      <c r="J134" s="12"/>
      <c r="K134" s="42"/>
      <c r="L134" s="10"/>
      <c r="M134" s="11" t="str">
        <f t="shared" si="2"/>
        <v/>
      </c>
      <c r="N134" s="12" t="str">
        <f t="shared" si="3"/>
        <v/>
      </c>
      <c r="O134" s="14"/>
      <c r="P134" s="14" t="str">
        <f t="shared" si="4"/>
        <v/>
      </c>
      <c r="Q134" s="15"/>
      <c r="R134" s="15" t="str">
        <f t="shared" si="5"/>
        <v/>
      </c>
      <c r="S134" s="4"/>
      <c r="T134" s="4"/>
      <c r="U134" s="4"/>
      <c r="V134" s="4"/>
      <c r="W134" s="4"/>
    </row>
    <row r="135" ht="15.75" customHeight="1">
      <c r="A135" s="4"/>
      <c r="B135" s="4"/>
      <c r="C135" s="4"/>
      <c r="D135" s="4"/>
      <c r="E135" s="4"/>
      <c r="F135" s="4"/>
      <c r="G135" s="4"/>
      <c r="H135" s="6"/>
      <c r="I135" s="38"/>
      <c r="J135" s="12"/>
      <c r="K135" s="42"/>
      <c r="L135" s="10"/>
      <c r="M135" s="11" t="str">
        <f t="shared" si="2"/>
        <v/>
      </c>
      <c r="N135" s="12" t="str">
        <f t="shared" si="3"/>
        <v/>
      </c>
      <c r="O135" s="14"/>
      <c r="P135" s="14" t="str">
        <f t="shared" si="4"/>
        <v/>
      </c>
      <c r="Q135" s="15"/>
      <c r="R135" s="15" t="str">
        <f t="shared" si="5"/>
        <v/>
      </c>
      <c r="S135" s="4"/>
      <c r="T135" s="4"/>
      <c r="U135" s="4"/>
      <c r="V135" s="4"/>
      <c r="W135" s="4"/>
    </row>
    <row r="136" ht="15.75" customHeight="1">
      <c r="A136" s="4"/>
      <c r="B136" s="4"/>
      <c r="C136" s="4"/>
      <c r="D136" s="4"/>
      <c r="E136" s="4"/>
      <c r="F136" s="4"/>
      <c r="G136" s="4"/>
      <c r="H136" s="6"/>
      <c r="I136" s="38"/>
      <c r="J136" s="12"/>
      <c r="K136" s="42"/>
      <c r="L136" s="10"/>
      <c r="M136" s="11" t="str">
        <f t="shared" si="2"/>
        <v/>
      </c>
      <c r="N136" s="12" t="str">
        <f t="shared" si="3"/>
        <v/>
      </c>
      <c r="O136" s="14"/>
      <c r="P136" s="14" t="str">
        <f t="shared" si="4"/>
        <v/>
      </c>
      <c r="Q136" s="15"/>
      <c r="R136" s="15" t="str">
        <f t="shared" si="5"/>
        <v/>
      </c>
      <c r="S136" s="4"/>
      <c r="T136" s="4"/>
      <c r="U136" s="4"/>
      <c r="V136" s="4"/>
      <c r="W136" s="4"/>
    </row>
    <row r="137" ht="15.75" customHeight="1">
      <c r="A137" s="4"/>
      <c r="B137" s="4"/>
      <c r="C137" s="4"/>
      <c r="D137" s="4"/>
      <c r="E137" s="4"/>
      <c r="F137" s="4"/>
      <c r="G137" s="4"/>
      <c r="H137" s="6"/>
      <c r="I137" s="38"/>
      <c r="J137" s="12"/>
      <c r="K137" s="42"/>
      <c r="L137" s="10"/>
      <c r="M137" s="11" t="str">
        <f t="shared" si="2"/>
        <v/>
      </c>
      <c r="N137" s="12" t="str">
        <f t="shared" si="3"/>
        <v/>
      </c>
      <c r="O137" s="14"/>
      <c r="P137" s="14" t="str">
        <f t="shared" si="4"/>
        <v/>
      </c>
      <c r="Q137" s="15"/>
      <c r="R137" s="15" t="str">
        <f t="shared" si="5"/>
        <v/>
      </c>
      <c r="S137" s="4"/>
      <c r="T137" s="4"/>
      <c r="U137" s="4"/>
      <c r="V137" s="4"/>
      <c r="W137" s="4"/>
    </row>
    <row r="138" ht="15.75" customHeight="1">
      <c r="A138" s="4"/>
      <c r="B138" s="4"/>
      <c r="C138" s="4"/>
      <c r="D138" s="4"/>
      <c r="E138" s="4"/>
      <c r="F138" s="4"/>
      <c r="G138" s="4"/>
      <c r="H138" s="6"/>
      <c r="I138" s="38"/>
      <c r="J138" s="12"/>
      <c r="K138" s="42"/>
      <c r="L138" s="10"/>
      <c r="M138" s="11" t="str">
        <f t="shared" si="2"/>
        <v/>
      </c>
      <c r="N138" s="12" t="str">
        <f t="shared" si="3"/>
        <v/>
      </c>
      <c r="O138" s="14"/>
      <c r="P138" s="14" t="str">
        <f t="shared" si="4"/>
        <v/>
      </c>
      <c r="Q138" s="15"/>
      <c r="R138" s="15" t="str">
        <f t="shared" si="5"/>
        <v/>
      </c>
      <c r="S138" s="4"/>
      <c r="T138" s="4"/>
      <c r="U138" s="4"/>
      <c r="V138" s="4"/>
      <c r="W138" s="4"/>
    </row>
    <row r="139" ht="15.75" customHeight="1">
      <c r="A139" s="4"/>
      <c r="B139" s="4"/>
      <c r="C139" s="4"/>
      <c r="D139" s="4"/>
      <c r="E139" s="4"/>
      <c r="F139" s="4"/>
      <c r="G139" s="4"/>
      <c r="H139" s="6"/>
      <c r="I139" s="38"/>
      <c r="J139" s="12"/>
      <c r="K139" s="42"/>
      <c r="L139" s="10"/>
      <c r="M139" s="11" t="str">
        <f t="shared" si="2"/>
        <v/>
      </c>
      <c r="N139" s="12" t="str">
        <f t="shared" si="3"/>
        <v/>
      </c>
      <c r="O139" s="14"/>
      <c r="P139" s="14" t="str">
        <f t="shared" si="4"/>
        <v/>
      </c>
      <c r="Q139" s="15"/>
      <c r="R139" s="15" t="str">
        <f t="shared" si="5"/>
        <v/>
      </c>
      <c r="S139" s="4"/>
      <c r="T139" s="4"/>
      <c r="U139" s="4"/>
      <c r="V139" s="4"/>
      <c r="W139" s="4"/>
    </row>
    <row r="140" ht="15.75" customHeight="1">
      <c r="A140" s="4"/>
      <c r="B140" s="4"/>
      <c r="C140" s="4"/>
      <c r="D140" s="4"/>
      <c r="E140" s="4"/>
      <c r="F140" s="4"/>
      <c r="G140" s="4"/>
      <c r="H140" s="6"/>
      <c r="I140" s="38"/>
      <c r="J140" s="12"/>
      <c r="K140" s="42"/>
      <c r="L140" s="10"/>
      <c r="M140" s="11" t="str">
        <f t="shared" si="2"/>
        <v/>
      </c>
      <c r="N140" s="12" t="str">
        <f t="shared" si="3"/>
        <v/>
      </c>
      <c r="O140" s="14"/>
      <c r="P140" s="14" t="str">
        <f t="shared" si="4"/>
        <v/>
      </c>
      <c r="Q140" s="15"/>
      <c r="R140" s="15" t="str">
        <f t="shared" si="5"/>
        <v/>
      </c>
      <c r="S140" s="4"/>
      <c r="T140" s="4"/>
      <c r="U140" s="4"/>
      <c r="V140" s="4"/>
      <c r="W140" s="4"/>
    </row>
    <row r="141" ht="15.75" customHeight="1">
      <c r="A141" s="4"/>
      <c r="B141" s="4"/>
      <c r="C141" s="4"/>
      <c r="D141" s="4"/>
      <c r="E141" s="4"/>
      <c r="F141" s="4"/>
      <c r="G141" s="4"/>
      <c r="H141" s="6"/>
      <c r="I141" s="38"/>
      <c r="J141" s="12"/>
      <c r="K141" s="42"/>
      <c r="L141" s="10"/>
      <c r="M141" s="11" t="str">
        <f t="shared" si="2"/>
        <v/>
      </c>
      <c r="N141" s="12" t="str">
        <f t="shared" si="3"/>
        <v/>
      </c>
      <c r="O141" s="14"/>
      <c r="P141" s="14" t="str">
        <f t="shared" si="4"/>
        <v/>
      </c>
      <c r="Q141" s="15"/>
      <c r="R141" s="15" t="str">
        <f t="shared" si="5"/>
        <v/>
      </c>
      <c r="S141" s="4"/>
      <c r="T141" s="4"/>
      <c r="U141" s="4"/>
      <c r="V141" s="4"/>
      <c r="W141" s="4"/>
    </row>
    <row r="142" ht="15.75" customHeight="1">
      <c r="A142" s="4"/>
      <c r="B142" s="4"/>
      <c r="C142" s="4"/>
      <c r="D142" s="4"/>
      <c r="E142" s="4"/>
      <c r="F142" s="4"/>
      <c r="G142" s="4"/>
      <c r="H142" s="6"/>
      <c r="I142" s="38"/>
      <c r="J142" s="12"/>
      <c r="K142" s="42"/>
      <c r="L142" s="10"/>
      <c r="M142" s="11" t="str">
        <f t="shared" si="2"/>
        <v/>
      </c>
      <c r="N142" s="12" t="str">
        <f t="shared" si="3"/>
        <v/>
      </c>
      <c r="O142" s="14"/>
      <c r="P142" s="14" t="str">
        <f t="shared" si="4"/>
        <v/>
      </c>
      <c r="Q142" s="15"/>
      <c r="R142" s="15" t="str">
        <f t="shared" si="5"/>
        <v/>
      </c>
      <c r="S142" s="4"/>
      <c r="T142" s="4"/>
      <c r="U142" s="4"/>
      <c r="V142" s="4"/>
      <c r="W142" s="4"/>
    </row>
    <row r="143" ht="15.75" customHeight="1">
      <c r="A143" s="4"/>
      <c r="B143" s="4"/>
      <c r="C143" s="4"/>
      <c r="D143" s="4"/>
      <c r="E143" s="4"/>
      <c r="F143" s="4"/>
      <c r="G143" s="4"/>
      <c r="H143" s="6"/>
      <c r="I143" s="38"/>
      <c r="J143" s="12"/>
      <c r="K143" s="42"/>
      <c r="L143" s="10"/>
      <c r="M143" s="11" t="str">
        <f t="shared" si="2"/>
        <v/>
      </c>
      <c r="N143" s="12" t="str">
        <f t="shared" si="3"/>
        <v/>
      </c>
      <c r="O143" s="14"/>
      <c r="P143" s="14" t="str">
        <f t="shared" si="4"/>
        <v/>
      </c>
      <c r="Q143" s="15"/>
      <c r="R143" s="15" t="str">
        <f t="shared" si="5"/>
        <v/>
      </c>
      <c r="S143" s="4"/>
      <c r="T143" s="4"/>
      <c r="U143" s="4"/>
      <c r="V143" s="4"/>
      <c r="W143" s="4"/>
    </row>
    <row r="144" ht="15.75" customHeight="1">
      <c r="A144" s="4"/>
      <c r="B144" s="4"/>
      <c r="C144" s="4"/>
      <c r="D144" s="4"/>
      <c r="E144" s="4"/>
      <c r="F144" s="4"/>
      <c r="G144" s="4"/>
      <c r="H144" s="6"/>
      <c r="I144" s="38"/>
      <c r="J144" s="12"/>
      <c r="K144" s="42"/>
      <c r="L144" s="10"/>
      <c r="M144" s="11" t="str">
        <f t="shared" si="2"/>
        <v/>
      </c>
      <c r="N144" s="12" t="str">
        <f t="shared" si="3"/>
        <v/>
      </c>
      <c r="O144" s="14"/>
      <c r="P144" s="14" t="str">
        <f t="shared" si="4"/>
        <v/>
      </c>
      <c r="Q144" s="15"/>
      <c r="R144" s="15" t="str">
        <f t="shared" si="5"/>
        <v/>
      </c>
      <c r="S144" s="4"/>
      <c r="T144" s="4"/>
      <c r="U144" s="4"/>
      <c r="V144" s="4"/>
      <c r="W144" s="4"/>
    </row>
    <row r="145" ht="15.75" customHeight="1">
      <c r="A145" s="4"/>
      <c r="B145" s="4"/>
      <c r="C145" s="4"/>
      <c r="D145" s="4"/>
      <c r="E145" s="4"/>
      <c r="F145" s="4"/>
      <c r="G145" s="4"/>
      <c r="H145" s="6"/>
      <c r="I145" s="38"/>
      <c r="J145" s="12"/>
      <c r="K145" s="42"/>
      <c r="L145" s="10"/>
      <c r="M145" s="11" t="str">
        <f t="shared" si="2"/>
        <v/>
      </c>
      <c r="N145" s="12" t="str">
        <f t="shared" si="3"/>
        <v/>
      </c>
      <c r="O145" s="14"/>
      <c r="P145" s="14" t="str">
        <f t="shared" si="4"/>
        <v/>
      </c>
      <c r="Q145" s="15"/>
      <c r="R145" s="15" t="str">
        <f t="shared" si="5"/>
        <v/>
      </c>
      <c r="S145" s="4"/>
      <c r="T145" s="4"/>
      <c r="U145" s="4"/>
      <c r="V145" s="4"/>
      <c r="W145" s="4"/>
    </row>
    <row r="146" ht="15.75" customHeight="1">
      <c r="A146" s="4"/>
      <c r="B146" s="4"/>
      <c r="C146" s="4"/>
      <c r="D146" s="4"/>
      <c r="E146" s="4"/>
      <c r="F146" s="4"/>
      <c r="G146" s="4"/>
      <c r="H146" s="6"/>
      <c r="I146" s="38"/>
      <c r="J146" s="12"/>
      <c r="K146" s="42"/>
      <c r="L146" s="10"/>
      <c r="M146" s="11" t="str">
        <f t="shared" si="2"/>
        <v/>
      </c>
      <c r="N146" s="12" t="str">
        <f t="shared" si="3"/>
        <v/>
      </c>
      <c r="O146" s="14"/>
      <c r="P146" s="14" t="str">
        <f t="shared" si="4"/>
        <v/>
      </c>
      <c r="Q146" s="15"/>
      <c r="R146" s="15" t="str">
        <f t="shared" si="5"/>
        <v/>
      </c>
      <c r="S146" s="4"/>
      <c r="T146" s="4"/>
      <c r="U146" s="4"/>
      <c r="V146" s="4"/>
      <c r="W146" s="4"/>
    </row>
    <row r="147" ht="15.75" customHeight="1">
      <c r="A147" s="4"/>
      <c r="B147" s="4"/>
      <c r="C147" s="4"/>
      <c r="D147" s="4"/>
      <c r="E147" s="4"/>
      <c r="F147" s="4"/>
      <c r="G147" s="4"/>
      <c r="H147" s="6"/>
      <c r="I147" s="38"/>
      <c r="J147" s="12"/>
      <c r="K147" s="42"/>
      <c r="L147" s="10"/>
      <c r="M147" s="11" t="str">
        <f t="shared" si="2"/>
        <v/>
      </c>
      <c r="N147" s="12" t="str">
        <f t="shared" si="3"/>
        <v/>
      </c>
      <c r="O147" s="14"/>
      <c r="P147" s="14" t="str">
        <f t="shared" si="4"/>
        <v/>
      </c>
      <c r="Q147" s="15"/>
      <c r="R147" s="15" t="str">
        <f t="shared" si="5"/>
        <v/>
      </c>
      <c r="S147" s="4"/>
      <c r="T147" s="4"/>
      <c r="U147" s="4"/>
      <c r="V147" s="4"/>
      <c r="W147" s="4"/>
    </row>
    <row r="148" ht="15.75" customHeight="1">
      <c r="A148" s="4"/>
      <c r="B148" s="4"/>
      <c r="C148" s="4"/>
      <c r="D148" s="4"/>
      <c r="E148" s="4"/>
      <c r="F148" s="4"/>
      <c r="G148" s="4"/>
      <c r="H148" s="6"/>
      <c r="I148" s="38"/>
      <c r="J148" s="12"/>
      <c r="K148" s="42"/>
      <c r="L148" s="10"/>
      <c r="M148" s="11" t="str">
        <f t="shared" si="2"/>
        <v/>
      </c>
      <c r="N148" s="12" t="str">
        <f t="shared" si="3"/>
        <v/>
      </c>
      <c r="O148" s="14"/>
      <c r="P148" s="14" t="str">
        <f t="shared" si="4"/>
        <v/>
      </c>
      <c r="Q148" s="15"/>
      <c r="R148" s="15" t="str">
        <f t="shared" si="5"/>
        <v/>
      </c>
      <c r="S148" s="4"/>
      <c r="T148" s="4"/>
      <c r="U148" s="4"/>
      <c r="V148" s="4"/>
      <c r="W148" s="4"/>
    </row>
    <row r="149" ht="15.75" customHeight="1">
      <c r="A149" s="4"/>
      <c r="B149" s="4"/>
      <c r="C149" s="4"/>
      <c r="D149" s="4"/>
      <c r="E149" s="4"/>
      <c r="F149" s="4"/>
      <c r="G149" s="4"/>
      <c r="H149" s="6"/>
      <c r="I149" s="38"/>
      <c r="J149" s="12"/>
      <c r="K149" s="42"/>
      <c r="L149" s="10"/>
      <c r="M149" s="11" t="str">
        <f t="shared" si="2"/>
        <v/>
      </c>
      <c r="N149" s="12" t="str">
        <f t="shared" si="3"/>
        <v/>
      </c>
      <c r="O149" s="14"/>
      <c r="P149" s="14" t="str">
        <f t="shared" si="4"/>
        <v/>
      </c>
      <c r="Q149" s="15"/>
      <c r="R149" s="15" t="str">
        <f t="shared" si="5"/>
        <v/>
      </c>
      <c r="S149" s="4"/>
      <c r="T149" s="4"/>
      <c r="U149" s="4"/>
      <c r="V149" s="4"/>
      <c r="W149" s="4"/>
    </row>
    <row r="150" ht="15.75" customHeight="1">
      <c r="A150" s="4"/>
      <c r="B150" s="4"/>
      <c r="C150" s="4"/>
      <c r="D150" s="4"/>
      <c r="E150" s="4"/>
      <c r="F150" s="4"/>
      <c r="G150" s="4"/>
      <c r="H150" s="6"/>
      <c r="I150" s="38"/>
      <c r="J150" s="12"/>
      <c r="K150" s="42"/>
      <c r="L150" s="10"/>
      <c r="M150" s="11" t="str">
        <f t="shared" si="2"/>
        <v/>
      </c>
      <c r="N150" s="12" t="str">
        <f t="shared" si="3"/>
        <v/>
      </c>
      <c r="O150" s="14"/>
      <c r="P150" s="14" t="str">
        <f t="shared" si="4"/>
        <v/>
      </c>
      <c r="Q150" s="15"/>
      <c r="R150" s="15" t="str">
        <f t="shared" si="5"/>
        <v/>
      </c>
      <c r="S150" s="4"/>
      <c r="T150" s="4"/>
      <c r="U150" s="4"/>
      <c r="V150" s="4"/>
      <c r="W150" s="4"/>
    </row>
    <row r="151" ht="15.75" customHeight="1">
      <c r="A151" s="4"/>
      <c r="B151" s="4"/>
      <c r="C151" s="4"/>
      <c r="D151" s="4"/>
      <c r="E151" s="4"/>
      <c r="F151" s="4"/>
      <c r="G151" s="4"/>
      <c r="H151" s="6"/>
      <c r="I151" s="38"/>
      <c r="J151" s="12"/>
      <c r="K151" s="42"/>
      <c r="L151" s="10"/>
      <c r="M151" s="11" t="str">
        <f t="shared" si="2"/>
        <v/>
      </c>
      <c r="N151" s="12" t="str">
        <f t="shared" si="3"/>
        <v/>
      </c>
      <c r="O151" s="14"/>
      <c r="P151" s="14" t="str">
        <f t="shared" si="4"/>
        <v/>
      </c>
      <c r="Q151" s="15"/>
      <c r="R151" s="15" t="str">
        <f t="shared" si="5"/>
        <v/>
      </c>
      <c r="S151" s="4"/>
      <c r="T151" s="4"/>
      <c r="U151" s="4"/>
      <c r="V151" s="4"/>
      <c r="W151" s="4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U2:U151">
    <cfRule type="expression" dxfId="5" priority="1">
      <formula>U2="Seleccionado"</formula>
    </cfRule>
  </conditionalFormatting>
  <conditionalFormatting sqref="U2:U151">
    <cfRule type="expression" dxfId="6" priority="2">
      <formula>U2="Descartado"</formula>
    </cfRule>
  </conditionalFormatting>
  <conditionalFormatting sqref="C2:C151">
    <cfRule type="expression" dxfId="8" priority="3">
      <formula>C2="No"</formula>
    </cfRule>
  </conditionalFormatting>
  <dataValidations>
    <dataValidation type="list" allowBlank="1" sqref="U2:U151">
      <formula1>"Por definir,Candidato,Seleccionado,Comprado,Probado,Descartado"</formula1>
    </dataValidation>
    <dataValidation type="list" allowBlank="1" sqref="D2:D151">
      <formula1>"Misión principal,Misión secundaria,Común"</formula1>
    </dataValidation>
    <dataValidation type="list" allowBlank="1" sqref="B2:B151">
      <formula1>"Adquisición de datos,Control / Software,Comunicación,Navegación,Registro / Video,Almacenamiento,Mecánico / Estructural,Descenso / Recuperación,Misión secundaria,Estación terrena,Otros"</formula1>
    </dataValidation>
    <dataValidation type="list" allowBlank="1" sqref="C2:C151">
      <formula1>"Sí,No"</formula1>
    </dataValidation>
    <dataValidation type="custom" allowBlank="1" showDropDown="1" sqref="J2:N151">
      <formula1>AND(ISNUMBER(J2),(NOT(OR(NOT(ISERROR(DATEVALUE(J2))), AND(ISNUMBER(J2), LEFT(CELL("format", J2))="D")))))</formula1>
    </dataValidation>
  </dataValidations>
  <hyperlinks>
    <hyperlink r:id="rId1" ref="V3"/>
    <hyperlink r:id="rId2" ref="V14"/>
    <hyperlink r:id="rId3" ref="V24"/>
  </hyperlinks>
  <printOptions/>
  <pageMargins bottom="0.75" footer="0.0" header="0.0" left="0.7" right="0.7" top="0.75"/>
  <pageSetup orientation="landscape"/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24.0"/>
    <col customWidth="1" min="3" max="3" width="18.0"/>
    <col customWidth="1" min="4" max="4" width="14.0"/>
    <col customWidth="1" min="5" max="5" width="17.0"/>
    <col customWidth="1" min="6" max="6" width="10.0"/>
    <col customWidth="1" min="7" max="7" width="11.5"/>
    <col customWidth="1" min="8" max="8" width="14.0"/>
    <col customWidth="1" min="9" max="9" width="17.0"/>
    <col customWidth="1" min="10" max="10" width="15.0"/>
    <col customWidth="1" min="11" max="11" width="17.0"/>
    <col customWidth="1" min="12" max="12" width="16.0"/>
    <col customWidth="1" min="13" max="13" width="13.0"/>
    <col customWidth="1" min="14" max="14" width="15.0"/>
    <col customWidth="1" min="15" max="15" width="16.0"/>
    <col customWidth="1" min="16" max="16" width="15.0"/>
    <col customWidth="1" min="17" max="19" width="17.0"/>
    <col customWidth="1" min="20" max="20" width="18.0"/>
    <col customWidth="1" min="21" max="21" width="17.0"/>
    <col customWidth="1" min="22" max="22" width="32.0"/>
    <col customWidth="1" min="23" max="26" width="8.63"/>
  </cols>
  <sheetData>
    <row r="1">
      <c r="A1" s="1" t="s">
        <v>66</v>
      </c>
      <c r="B1" s="2" t="s">
        <v>37</v>
      </c>
      <c r="C1" s="2" t="s">
        <v>72</v>
      </c>
      <c r="D1" s="2" t="s">
        <v>74</v>
      </c>
      <c r="E1" s="2" t="s">
        <v>76</v>
      </c>
      <c r="F1" s="2" t="s">
        <v>77</v>
      </c>
      <c r="G1" s="2" t="s">
        <v>80</v>
      </c>
      <c r="H1" s="2" t="s">
        <v>39</v>
      </c>
      <c r="I1" s="2" t="s">
        <v>41</v>
      </c>
      <c r="J1" s="2" t="s">
        <v>85</v>
      </c>
      <c r="K1" s="2" t="s">
        <v>88</v>
      </c>
      <c r="L1" s="2" t="s">
        <v>43</v>
      </c>
      <c r="M1" s="2" t="s">
        <v>91</v>
      </c>
      <c r="N1" s="2" t="s">
        <v>93</v>
      </c>
      <c r="O1" s="2" t="s">
        <v>95</v>
      </c>
      <c r="P1" s="2" t="s">
        <v>97</v>
      </c>
      <c r="Q1" s="2" t="s">
        <v>100</v>
      </c>
      <c r="R1" s="2" t="s">
        <v>102</v>
      </c>
      <c r="S1" s="2" t="s">
        <v>103</v>
      </c>
      <c r="T1" s="2" t="s">
        <v>106</v>
      </c>
      <c r="U1" s="2" t="s">
        <v>98</v>
      </c>
      <c r="V1" s="3" t="s">
        <v>112</v>
      </c>
    </row>
    <row r="2">
      <c r="A2" s="5" t="s">
        <v>25</v>
      </c>
      <c r="B2" s="5">
        <v>18650.0</v>
      </c>
      <c r="C2" s="37" t="s">
        <v>120</v>
      </c>
      <c r="D2" s="38">
        <f>3.7</f>
        <v>3.7</v>
      </c>
      <c r="E2" s="38">
        <f>3000</f>
        <v>3000</v>
      </c>
      <c r="F2" s="6">
        <v>1.0</v>
      </c>
      <c r="G2" s="6">
        <f>2</f>
        <v>2</v>
      </c>
      <c r="H2" s="38">
        <f t="shared" ref="H2:I2" si="1">IF(OR(D2="",F2=""),"",D2*F2)</f>
        <v>3.7</v>
      </c>
      <c r="I2" s="38">
        <f t="shared" si="1"/>
        <v>6000</v>
      </c>
      <c r="J2" s="38">
        <f t="shared" ref="J2:J11" si="3">IF(OR(H2="",I2=""),"",H2*I2/1000)</f>
        <v>22.2</v>
      </c>
      <c r="K2" s="41">
        <v>0.9</v>
      </c>
      <c r="L2" s="38">
        <f t="shared" ref="L2:L11" si="4">IF(J2="","",J2*K2)</f>
        <v>19.98</v>
      </c>
      <c r="M2" s="14">
        <f>46.6</f>
        <v>46.6</v>
      </c>
      <c r="N2" s="14"/>
      <c r="O2" s="14">
        <f t="shared" ref="O2:O11" si="5">IF(M2="","",M2*F2*G2+N2)</f>
        <v>93.2</v>
      </c>
      <c r="P2" s="15"/>
      <c r="Q2" s="15"/>
      <c r="R2" s="15" t="str">
        <f t="shared" ref="R2:R11" si="6">IF(P2="","",P2*F2*G2+Q2)</f>
        <v/>
      </c>
      <c r="S2" s="38">
        <f>IF(OR(L2="",Resumen!$B$18=0),"",L2*Resumen!$B$10/Resumen!$B$18)</f>
        <v>1.478230743</v>
      </c>
      <c r="T2" s="38">
        <f>IF(S2="","",S2-Resumen!$B$8)</f>
        <v>-0.521769257</v>
      </c>
      <c r="U2" s="4" t="str">
        <f>IF(S2="","",IF(S2&gt;=Resumen!$B$8,"CUMPLE","NO CUMPLE"))</f>
        <v>NO CUMPLE</v>
      </c>
      <c r="V2" s="4"/>
    </row>
    <row r="3">
      <c r="A3" s="4" t="s">
        <v>154</v>
      </c>
      <c r="B3" s="5">
        <v>21700.0</v>
      </c>
      <c r="C3" s="37" t="s">
        <v>155</v>
      </c>
      <c r="D3" s="7">
        <v>3.63</v>
      </c>
      <c r="E3" s="7">
        <v>4900.0</v>
      </c>
      <c r="F3" s="6">
        <v>1.0</v>
      </c>
      <c r="G3" s="6">
        <v>1.0</v>
      </c>
      <c r="H3" s="38">
        <f t="shared" ref="H3:I3" si="2">IF(OR(D3="",F3=""),"",D3*F3)</f>
        <v>3.63</v>
      </c>
      <c r="I3" s="38">
        <f t="shared" si="2"/>
        <v>4900</v>
      </c>
      <c r="J3" s="38">
        <f t="shared" si="3"/>
        <v>17.787</v>
      </c>
      <c r="K3" s="41">
        <v>0.9</v>
      </c>
      <c r="L3" s="38">
        <f t="shared" si="4"/>
        <v>16.0083</v>
      </c>
      <c r="M3" s="14"/>
      <c r="N3" s="14"/>
      <c r="O3" s="14" t="str">
        <f t="shared" si="5"/>
        <v/>
      </c>
      <c r="P3" s="15"/>
      <c r="Q3" s="15"/>
      <c r="R3" s="15" t="str">
        <f t="shared" si="6"/>
        <v/>
      </c>
      <c r="S3" s="38">
        <f>IF(OR(L3="",Resumen!$B$18=0),"",L3*Resumen!$B$10/Resumen!$B$18)</f>
        <v>1.184382443</v>
      </c>
      <c r="T3" s="38">
        <f>IF(S3="","",S3-Resumen!$B$8)</f>
        <v>-0.8156175574</v>
      </c>
      <c r="U3" s="4" t="str">
        <f>IF(S3="","",IF(S3&gt;=Resumen!$B$8,"CUMPLE","NO CUMPLE"))</f>
        <v>NO CUMPLE</v>
      </c>
      <c r="V3" s="4"/>
    </row>
    <row r="4">
      <c r="A4" s="4" t="s">
        <v>154</v>
      </c>
      <c r="B4" s="4"/>
      <c r="C4" s="44"/>
      <c r="D4" s="38"/>
      <c r="E4" s="38"/>
      <c r="F4" s="6">
        <v>1.0</v>
      </c>
      <c r="G4" s="6">
        <v>1.0</v>
      </c>
      <c r="H4" s="38" t="str">
        <f t="shared" ref="H4:I4" si="7">IF(OR(D4="",F4=""),"",D4*F4)</f>
        <v/>
      </c>
      <c r="I4" s="38" t="str">
        <f t="shared" si="7"/>
        <v/>
      </c>
      <c r="J4" s="38" t="str">
        <f t="shared" si="3"/>
        <v/>
      </c>
      <c r="K4" s="41">
        <v>0.9</v>
      </c>
      <c r="L4" s="38" t="str">
        <f t="shared" si="4"/>
        <v/>
      </c>
      <c r="M4" s="14"/>
      <c r="N4" s="14"/>
      <c r="O4" s="14" t="str">
        <f t="shared" si="5"/>
        <v/>
      </c>
      <c r="P4" s="15"/>
      <c r="Q4" s="15"/>
      <c r="R4" s="15" t="str">
        <f t="shared" si="6"/>
        <v/>
      </c>
      <c r="S4" s="38" t="str">
        <f>IF(OR(L4="",Resumen!$B$18=0),"",L4*Resumen!$B$10/Resumen!$B$18)</f>
        <v/>
      </c>
      <c r="T4" s="38" t="str">
        <f>IF(S4="","",S4-Resumen!$B$8)</f>
        <v/>
      </c>
      <c r="U4" s="4" t="str">
        <f>IF(S4="","",IF(S4&gt;=Resumen!$B$8,"CUMPLE","NO CUMPLE"))</f>
        <v/>
      </c>
      <c r="V4" s="4"/>
    </row>
    <row r="5">
      <c r="A5" s="4" t="s">
        <v>154</v>
      </c>
      <c r="B5" s="4"/>
      <c r="C5" s="44"/>
      <c r="D5" s="38"/>
      <c r="E5" s="38"/>
      <c r="F5" s="6">
        <v>1.0</v>
      </c>
      <c r="G5" s="6">
        <v>1.0</v>
      </c>
      <c r="H5" s="38" t="str">
        <f t="shared" ref="H5:I5" si="8">IF(OR(D5="",F5=""),"",D5*F5)</f>
        <v/>
      </c>
      <c r="I5" s="38" t="str">
        <f t="shared" si="8"/>
        <v/>
      </c>
      <c r="J5" s="38" t="str">
        <f t="shared" si="3"/>
        <v/>
      </c>
      <c r="K5" s="41">
        <v>0.9</v>
      </c>
      <c r="L5" s="38" t="str">
        <f t="shared" si="4"/>
        <v/>
      </c>
      <c r="M5" s="14"/>
      <c r="N5" s="14"/>
      <c r="O5" s="14" t="str">
        <f t="shared" si="5"/>
        <v/>
      </c>
      <c r="P5" s="15"/>
      <c r="Q5" s="15"/>
      <c r="R5" s="15" t="str">
        <f t="shared" si="6"/>
        <v/>
      </c>
      <c r="S5" s="38" t="str">
        <f>IF(OR(L5="",Resumen!$B$18=0),"",L5*Resumen!$B$10/Resumen!$B$18)</f>
        <v/>
      </c>
      <c r="T5" s="38" t="str">
        <f>IF(S5="","",S5-Resumen!$B$8)</f>
        <v/>
      </c>
      <c r="U5" s="4" t="str">
        <f>IF(S5="","",IF(S5&gt;=Resumen!$B$8,"CUMPLE","NO CUMPLE"))</f>
        <v/>
      </c>
      <c r="V5" s="4"/>
    </row>
    <row r="6">
      <c r="A6" s="4" t="s">
        <v>154</v>
      </c>
      <c r="B6" s="4"/>
      <c r="C6" s="44"/>
      <c r="D6" s="38"/>
      <c r="E6" s="38"/>
      <c r="F6" s="6">
        <v>1.0</v>
      </c>
      <c r="G6" s="6">
        <v>1.0</v>
      </c>
      <c r="H6" s="38" t="str">
        <f t="shared" ref="H6:I6" si="9">IF(OR(D6="",F6=""),"",D6*F6)</f>
        <v/>
      </c>
      <c r="I6" s="38" t="str">
        <f t="shared" si="9"/>
        <v/>
      </c>
      <c r="J6" s="38" t="str">
        <f t="shared" si="3"/>
        <v/>
      </c>
      <c r="K6" s="41">
        <v>0.9</v>
      </c>
      <c r="L6" s="38" t="str">
        <f t="shared" si="4"/>
        <v/>
      </c>
      <c r="M6" s="14"/>
      <c r="N6" s="14"/>
      <c r="O6" s="14" t="str">
        <f t="shared" si="5"/>
        <v/>
      </c>
      <c r="P6" s="15"/>
      <c r="Q6" s="15"/>
      <c r="R6" s="15" t="str">
        <f t="shared" si="6"/>
        <v/>
      </c>
      <c r="S6" s="38" t="str">
        <f>IF(OR(L6="",Resumen!$B$18=0),"",L6*Resumen!$B$10/Resumen!$B$18)</f>
        <v/>
      </c>
      <c r="T6" s="38" t="str">
        <f>IF(S6="","",S6-Resumen!$B$8)</f>
        <v/>
      </c>
      <c r="U6" s="4" t="str">
        <f>IF(S6="","",IF(S6&gt;=Resumen!$B$8,"CUMPLE","NO CUMPLE"))</f>
        <v/>
      </c>
      <c r="V6" s="4"/>
    </row>
    <row r="7">
      <c r="A7" s="4" t="s">
        <v>154</v>
      </c>
      <c r="B7" s="4"/>
      <c r="C7" s="44"/>
      <c r="D7" s="38"/>
      <c r="E7" s="38"/>
      <c r="F7" s="6">
        <v>1.0</v>
      </c>
      <c r="G7" s="6">
        <v>1.0</v>
      </c>
      <c r="H7" s="38" t="str">
        <f t="shared" ref="H7:I7" si="10">IF(OR(D7="",F7=""),"",D7*F7)</f>
        <v/>
      </c>
      <c r="I7" s="38" t="str">
        <f t="shared" si="10"/>
        <v/>
      </c>
      <c r="J7" s="38" t="str">
        <f t="shared" si="3"/>
        <v/>
      </c>
      <c r="K7" s="41">
        <v>0.9</v>
      </c>
      <c r="L7" s="38" t="str">
        <f t="shared" si="4"/>
        <v/>
      </c>
      <c r="M7" s="14"/>
      <c r="N7" s="14"/>
      <c r="O7" s="14" t="str">
        <f t="shared" si="5"/>
        <v/>
      </c>
      <c r="P7" s="15"/>
      <c r="Q7" s="15"/>
      <c r="R7" s="15" t="str">
        <f t="shared" si="6"/>
        <v/>
      </c>
      <c r="S7" s="38" t="str">
        <f>IF(OR(L7="",Resumen!$B$18=0),"",L7*Resumen!$B$10/Resumen!$B$18)</f>
        <v/>
      </c>
      <c r="T7" s="38" t="str">
        <f>IF(S7="","",S7-Resumen!$B$8)</f>
        <v/>
      </c>
      <c r="U7" s="4" t="str">
        <f>IF(S7="","",IF(S7&gt;=Resumen!$B$8,"CUMPLE","NO CUMPLE"))</f>
        <v/>
      </c>
      <c r="V7" s="4"/>
    </row>
    <row r="8">
      <c r="A8" s="4" t="s">
        <v>154</v>
      </c>
      <c r="B8" s="4"/>
      <c r="C8" s="44"/>
      <c r="D8" s="38"/>
      <c r="E8" s="38"/>
      <c r="F8" s="6">
        <v>1.0</v>
      </c>
      <c r="G8" s="6">
        <v>1.0</v>
      </c>
      <c r="H8" s="38" t="str">
        <f t="shared" ref="H8:I8" si="11">IF(OR(D8="",F8=""),"",D8*F8)</f>
        <v/>
      </c>
      <c r="I8" s="38" t="str">
        <f t="shared" si="11"/>
        <v/>
      </c>
      <c r="J8" s="38" t="str">
        <f t="shared" si="3"/>
        <v/>
      </c>
      <c r="K8" s="41">
        <v>0.9</v>
      </c>
      <c r="L8" s="38" t="str">
        <f t="shared" si="4"/>
        <v/>
      </c>
      <c r="M8" s="14"/>
      <c r="N8" s="14"/>
      <c r="O8" s="14" t="str">
        <f t="shared" si="5"/>
        <v/>
      </c>
      <c r="P8" s="15"/>
      <c r="Q8" s="15"/>
      <c r="R8" s="15" t="str">
        <f t="shared" si="6"/>
        <v/>
      </c>
      <c r="S8" s="38" t="str">
        <f>IF(OR(L8="",Resumen!$B$18=0),"",L8*Resumen!$B$10/Resumen!$B$18)</f>
        <v/>
      </c>
      <c r="T8" s="38" t="str">
        <f>IF(S8="","",S8-Resumen!$B$8)</f>
        <v/>
      </c>
      <c r="U8" s="4" t="str">
        <f>IF(S8="","",IF(S8&gt;=Resumen!$B$8,"CUMPLE","NO CUMPLE"))</f>
        <v/>
      </c>
      <c r="V8" s="4"/>
    </row>
    <row r="9">
      <c r="A9" s="4" t="s">
        <v>154</v>
      </c>
      <c r="B9" s="4"/>
      <c r="C9" s="44"/>
      <c r="D9" s="38"/>
      <c r="E9" s="38"/>
      <c r="F9" s="6">
        <v>1.0</v>
      </c>
      <c r="G9" s="6">
        <v>1.0</v>
      </c>
      <c r="H9" s="38" t="str">
        <f t="shared" ref="H9:I9" si="12">IF(OR(D9="",F9=""),"",D9*F9)</f>
        <v/>
      </c>
      <c r="I9" s="38" t="str">
        <f t="shared" si="12"/>
        <v/>
      </c>
      <c r="J9" s="38" t="str">
        <f t="shared" si="3"/>
        <v/>
      </c>
      <c r="K9" s="41">
        <v>0.9</v>
      </c>
      <c r="L9" s="38" t="str">
        <f t="shared" si="4"/>
        <v/>
      </c>
      <c r="M9" s="14"/>
      <c r="N9" s="14"/>
      <c r="O9" s="14" t="str">
        <f t="shared" si="5"/>
        <v/>
      </c>
      <c r="P9" s="15"/>
      <c r="Q9" s="15"/>
      <c r="R9" s="15" t="str">
        <f t="shared" si="6"/>
        <v/>
      </c>
      <c r="S9" s="38" t="str">
        <f>IF(OR(L9="",Resumen!$B$18=0),"",L9*Resumen!$B$10/Resumen!$B$18)</f>
        <v/>
      </c>
      <c r="T9" s="38" t="str">
        <f>IF(S9="","",S9-Resumen!$B$8)</f>
        <v/>
      </c>
      <c r="U9" s="4" t="str">
        <f>IF(S9="","",IF(S9&gt;=Resumen!$B$8,"CUMPLE","NO CUMPLE"))</f>
        <v/>
      </c>
      <c r="V9" s="4"/>
    </row>
    <row r="10">
      <c r="A10" s="4" t="s">
        <v>154</v>
      </c>
      <c r="B10" s="4"/>
      <c r="C10" s="44"/>
      <c r="D10" s="38"/>
      <c r="E10" s="38"/>
      <c r="F10" s="6">
        <v>1.0</v>
      </c>
      <c r="G10" s="6">
        <v>1.0</v>
      </c>
      <c r="H10" s="38" t="str">
        <f t="shared" ref="H10:I10" si="13">IF(OR(D10="",F10=""),"",D10*F10)</f>
        <v/>
      </c>
      <c r="I10" s="38" t="str">
        <f t="shared" si="13"/>
        <v/>
      </c>
      <c r="J10" s="38" t="str">
        <f t="shared" si="3"/>
        <v/>
      </c>
      <c r="K10" s="41">
        <v>0.9</v>
      </c>
      <c r="L10" s="38" t="str">
        <f t="shared" si="4"/>
        <v/>
      </c>
      <c r="M10" s="14"/>
      <c r="N10" s="14"/>
      <c r="O10" s="14" t="str">
        <f t="shared" si="5"/>
        <v/>
      </c>
      <c r="P10" s="15"/>
      <c r="Q10" s="15"/>
      <c r="R10" s="15" t="str">
        <f t="shared" si="6"/>
        <v/>
      </c>
      <c r="S10" s="38" t="str">
        <f>IF(OR(L10="",Resumen!$B$18=0),"",L10*Resumen!$B$10/Resumen!$B$18)</f>
        <v/>
      </c>
      <c r="T10" s="38" t="str">
        <f>IF(S10="","",S10-Resumen!$B$8)</f>
        <v/>
      </c>
      <c r="U10" s="4" t="str">
        <f>IF(S10="","",IF(S10&gt;=Resumen!$B$8,"CUMPLE","NO CUMPLE"))</f>
        <v/>
      </c>
      <c r="V10" s="4"/>
    </row>
    <row r="11">
      <c r="A11" s="4" t="s">
        <v>154</v>
      </c>
      <c r="B11" s="4"/>
      <c r="C11" s="44"/>
      <c r="D11" s="38"/>
      <c r="E11" s="38"/>
      <c r="F11" s="6">
        <v>1.0</v>
      </c>
      <c r="G11" s="6">
        <v>1.0</v>
      </c>
      <c r="H11" s="38" t="str">
        <f t="shared" ref="H11:I11" si="14">IF(OR(D11="",F11=""),"",D11*F11)</f>
        <v/>
      </c>
      <c r="I11" s="38" t="str">
        <f t="shared" si="14"/>
        <v/>
      </c>
      <c r="J11" s="38" t="str">
        <f t="shared" si="3"/>
        <v/>
      </c>
      <c r="K11" s="41">
        <v>0.9</v>
      </c>
      <c r="L11" s="38" t="str">
        <f t="shared" si="4"/>
        <v/>
      </c>
      <c r="M11" s="14"/>
      <c r="N11" s="14"/>
      <c r="O11" s="14" t="str">
        <f t="shared" si="5"/>
        <v/>
      </c>
      <c r="P11" s="15"/>
      <c r="Q11" s="15"/>
      <c r="R11" s="15" t="str">
        <f t="shared" si="6"/>
        <v/>
      </c>
      <c r="S11" s="38" t="str">
        <f>IF(OR(L11="",Resumen!$B$18=0),"",L11*Resumen!$B$10/Resumen!$B$18)</f>
        <v/>
      </c>
      <c r="T11" s="38" t="str">
        <f>IF(S11="","",S11-Resumen!$B$8)</f>
        <v/>
      </c>
      <c r="U11" s="4" t="str">
        <f>IF(S11="","",IF(S11&gt;=Resumen!$B$8,"CUMPLE","NO CUMPLE"))</f>
        <v/>
      </c>
      <c r="V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U2:U11">
    <cfRule type="expression" dxfId="5" priority="1">
      <formula>U2="CUMPLE"</formula>
    </cfRule>
  </conditionalFormatting>
  <conditionalFormatting sqref="U2:U11">
    <cfRule type="expression" dxfId="6" priority="2">
      <formula>U2="NO CUMPLE"</formula>
    </cfRule>
  </conditionalFormatting>
  <conditionalFormatting sqref="A2:A11">
    <cfRule type="expression" dxfId="7" priority="3">
      <formula>A2="Sí"</formula>
    </cfRule>
  </conditionalFormatting>
  <conditionalFormatting sqref="C2:C11">
    <cfRule type="expression" dxfId="6" priority="4">
      <formula>C2="LiPo — NO permitida"</formula>
    </cfRule>
  </conditionalFormatting>
  <dataValidations>
    <dataValidation type="list" allowBlank="1" sqref="C2:C11">
      <formula1>"Li-ion 18650,Ni-MH,Ni-Cd,Alcalina,Litio botón,Otra permitida,LiPo — NO permitida,Li-Ion 21700"</formula1>
    </dataValidation>
    <dataValidation type="list" allowBlank="1" sqref="A2:A11">
      <formula1>"Sí,No"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8.0"/>
    <col customWidth="1" min="3" max="3" width="58.0"/>
    <col customWidth="1" min="4" max="4" width="36.0"/>
    <col customWidth="1" min="5" max="5" width="34.0"/>
    <col customWidth="1" min="6" max="26" width="8.63"/>
  </cols>
  <sheetData>
    <row r="1">
      <c r="A1" s="30" t="s">
        <v>64</v>
      </c>
      <c r="B1" s="31" t="s">
        <v>68</v>
      </c>
      <c r="C1" s="31" t="s">
        <v>70</v>
      </c>
      <c r="D1" s="31" t="s">
        <v>71</v>
      </c>
      <c r="E1" s="33" t="s">
        <v>75</v>
      </c>
    </row>
    <row r="2">
      <c r="A2" s="4" t="s">
        <v>79</v>
      </c>
      <c r="B2" s="4" t="s">
        <v>81</v>
      </c>
      <c r="C2" s="4" t="s">
        <v>82</v>
      </c>
      <c r="D2" s="4" t="s">
        <v>84</v>
      </c>
      <c r="E2" s="4" t="s">
        <v>87</v>
      </c>
    </row>
    <row r="3">
      <c r="A3" s="4" t="s">
        <v>90</v>
      </c>
      <c r="B3" s="4" t="s">
        <v>92</v>
      </c>
      <c r="C3" s="4" t="s">
        <v>94</v>
      </c>
      <c r="D3" s="4" t="s">
        <v>96</v>
      </c>
      <c r="E3" s="4" t="s">
        <v>87</v>
      </c>
    </row>
    <row r="4">
      <c r="A4" s="4" t="s">
        <v>101</v>
      </c>
      <c r="B4" s="4" t="s">
        <v>92</v>
      </c>
      <c r="C4" s="4" t="s">
        <v>104</v>
      </c>
      <c r="D4" s="4" t="s">
        <v>107</v>
      </c>
      <c r="E4" s="4" t="s">
        <v>87</v>
      </c>
    </row>
    <row r="5">
      <c r="A5" s="4" t="s">
        <v>111</v>
      </c>
      <c r="B5" s="4" t="s">
        <v>113</v>
      </c>
      <c r="C5" s="4" t="s">
        <v>114</v>
      </c>
      <c r="D5" s="4" t="s">
        <v>115</v>
      </c>
      <c r="E5" s="4" t="s">
        <v>87</v>
      </c>
    </row>
    <row r="6">
      <c r="A6" s="4" t="s">
        <v>116</v>
      </c>
      <c r="B6" s="4" t="s">
        <v>117</v>
      </c>
      <c r="C6" s="4" t="s">
        <v>118</v>
      </c>
      <c r="D6" s="4" t="s">
        <v>121</v>
      </c>
      <c r="E6" s="4" t="s">
        <v>87</v>
      </c>
    </row>
    <row r="7">
      <c r="A7" s="4" t="s">
        <v>124</v>
      </c>
      <c r="B7" s="4" t="s">
        <v>117</v>
      </c>
      <c r="C7" s="4" t="s">
        <v>125</v>
      </c>
      <c r="D7" s="4" t="s">
        <v>126</v>
      </c>
      <c r="E7" s="4" t="s">
        <v>87</v>
      </c>
    </row>
    <row r="8">
      <c r="A8" s="4" t="s">
        <v>127</v>
      </c>
      <c r="B8" s="4" t="s">
        <v>128</v>
      </c>
      <c r="C8" s="4" t="s">
        <v>129</v>
      </c>
      <c r="D8" s="4" t="s">
        <v>130</v>
      </c>
      <c r="E8" s="4" t="s">
        <v>87</v>
      </c>
    </row>
    <row r="9">
      <c r="A9" s="4" t="s">
        <v>131</v>
      </c>
      <c r="B9" s="4" t="s">
        <v>132</v>
      </c>
      <c r="C9" s="4" t="s">
        <v>133</v>
      </c>
      <c r="D9" s="4" t="s">
        <v>134</v>
      </c>
      <c r="E9" s="4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